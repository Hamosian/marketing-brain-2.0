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High level" sheetId="1" state="visible" r:id="rId1"/>
    <sheet xmlns:r="http://schemas.openxmlformats.org/officeDocument/2006/relationships" name="PLG targets" sheetId="2" state="visible" r:id="rId2"/>
    <sheet xmlns:r="http://schemas.openxmlformats.org/officeDocument/2006/relationships" name="SLG targets" sheetId="3" state="visible" r:id="rId3"/>
    <sheet xmlns:r="http://schemas.openxmlformats.org/officeDocument/2006/relationships" name="Lexicon" sheetId="4" state="visible" r:id="rId4"/>
    <sheet xmlns:r="http://schemas.openxmlformats.org/officeDocument/2006/relationships" name="Sheet4" sheetId="5" state="visible" r:id="rId5"/>
  </sheets>
  <definedNames>
    <definedName name="_xlnm._FilterDatabase" localSheetId="1" hidden="1">'PLG targets'!$B$2:$O$12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&quot;$&quot;#,##0"/>
    <numFmt numFmtId="166" formatCode="&quot;$&quot;#,##0.00"/>
  </numFmts>
  <fonts count="12">
    <font>
      <name val="Arial"/>
      <color rgb="FF000000"/>
      <sz val="10"/>
      <scheme val="minor"/>
    </font>
    <font>
      <name val="Inter"/>
      <color rgb="FFFFFFFF"/>
      <sz val="11"/>
    </font>
    <font>
      <name val="Inter"/>
      <color theme="1"/>
      <sz val="11"/>
    </font>
    <font>
      <name val="Arial"/>
      <family val="2"/>
      <color theme="1"/>
      <sz val="10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Google Sans Text"/>
      <b val="1"/>
      <color rgb="FFFFFFFF"/>
      <sz val="10"/>
    </font>
    <font>
      <name val="Google Sans Text"/>
      <b val="1"/>
      <color rgb="FF1F1F1F"/>
      <sz val="10"/>
    </font>
    <font>
      <name val="Google Sans Text"/>
      <color rgb="FF1F1F1F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164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9" fontId="2" fillId="0" borderId="1" applyAlignment="1" pivotButton="0" quotePrefix="0" xfId="0">
      <alignment horizontal="center" wrapText="1"/>
    </xf>
    <xf numFmtId="0" fontId="3" fillId="0" borderId="0" pivotButton="0" quotePrefix="0" xfId="0"/>
    <xf numFmtId="165" fontId="2" fillId="0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center" wrapText="1"/>
    </xf>
    <xf numFmtId="0" fontId="5" fillId="0" borderId="0" pivotButton="0" quotePrefix="0" xfId="0"/>
    <xf numFmtId="165" fontId="5" fillId="0" borderId="0" pivotButton="0" quotePrefix="0" xfId="0"/>
    <xf numFmtId="9" fontId="5" fillId="0" borderId="0" pivotButton="0" quotePrefix="0" xfId="0"/>
    <xf numFmtId="10" fontId="5" fillId="3" borderId="0" applyAlignment="1" pivotButton="0" quotePrefix="0" xfId="0">
      <alignment horizontal="center"/>
    </xf>
    <xf numFmtId="166" fontId="3" fillId="0" borderId="0" pivotButton="0" quotePrefix="0" xfId="0"/>
    <xf numFmtId="10" fontId="5" fillId="0" borderId="0" applyAlignment="1" pivotButton="0" quotePrefix="0" xfId="0">
      <alignment horizontal="right"/>
    </xf>
    <xf numFmtId="10" fontId="5" fillId="0" borderId="0" pivotButton="0" quotePrefix="0" xfId="0"/>
    <xf numFmtId="1" fontId="5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9" fontId="8" fillId="0" borderId="1" applyAlignment="1" pivotButton="0" quotePrefix="0" xfId="0">
      <alignment horizontal="right"/>
    </xf>
    <xf numFmtId="9" fontId="7" fillId="0" borderId="1" applyAlignment="1" pivotButton="0" quotePrefix="0" xfId="0">
      <alignment horizontal="right"/>
    </xf>
    <xf numFmtId="0" fontId="3" fillId="3" borderId="0" pivotButton="0" quotePrefix="0" xfId="0"/>
    <xf numFmtId="0" fontId="9" fillId="0" borderId="1" applyAlignment="1" pivotButton="0" quotePrefix="0" xfId="0">
      <alignment horizontal="left" vertical="top"/>
    </xf>
    <xf numFmtId="10" fontId="3" fillId="0" borderId="0" pivotButton="0" quotePrefix="0" xfId="0"/>
    <xf numFmtId="165" fontId="3" fillId="0" borderId="0" pivotButton="0" quotePrefix="0" xfId="0"/>
    <xf numFmtId="9" fontId="3" fillId="0" borderId="0" pivotButton="0" quotePrefix="0" xfId="0"/>
    <xf numFmtId="0" fontId="2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0" fontId="11" fillId="0" borderId="0" pivotButton="0" quotePrefix="0" xfId="0"/>
    <xf numFmtId="10" fontId="10" fillId="0" borderId="0" pivotButton="0" quotePrefix="0" xfId="0"/>
    <xf numFmtId="0" fontId="7" fillId="0" borderId="0" pivotButton="0" quotePrefix="0" xfId="0"/>
    <xf numFmtId="9" fontId="8" fillId="0" borderId="0" pivotButton="0" quotePrefix="0" xfId="0"/>
    <xf numFmtId="9" fontId="7" fillId="0" borderId="0" pivotButton="0" quotePrefix="0" xfId="0"/>
    <xf numFmtId="9" fontId="2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9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2"/>
  <sheetViews>
    <sheetView workbookViewId="0">
      <selection activeCell="H43" sqref="H43"/>
    </sheetView>
  </sheetViews>
  <sheetFormatPr baseColWidth="10" defaultColWidth="12.6640625" defaultRowHeight="15.75" customHeight="1"/>
  <cols>
    <col width="15.1640625" customWidth="1" min="1" max="6"/>
  </cols>
  <sheetData>
    <row r="1" ht="15.75" customHeight="1">
      <c r="A1" s="1" t="n">
        <v>46081</v>
      </c>
      <c r="B1" s="2" t="inlineStr">
        <is>
          <t>Target</t>
        </is>
      </c>
      <c r="C1" s="2" t="inlineStr">
        <is>
          <t>Current</t>
        </is>
      </c>
      <c r="D1" s="3" t="inlineStr">
        <is>
          <t>Run-Rate</t>
        </is>
      </c>
      <c r="E1" s="3" t="inlineStr">
        <is>
          <t>Attainment</t>
        </is>
      </c>
      <c r="F1" s="3" t="inlineStr">
        <is>
          <t>PoP</t>
        </is>
      </c>
    </row>
    <row r="2" ht="15.75" customHeight="1">
      <c r="A2" s="4" t="inlineStr">
        <is>
          <t>Trials</t>
        </is>
      </c>
      <c r="B2" s="5" t="n">
        <v>22824</v>
      </c>
      <c r="C2" s="5" t="n">
        <v>18600</v>
      </c>
      <c r="D2" s="5">
        <f>C2/B15</f>
        <v/>
      </c>
      <c r="E2" s="6">
        <f>D2/B2</f>
        <v/>
      </c>
      <c r="F2" s="6" t="n">
        <v>-0.09</v>
      </c>
      <c r="H2" s="7" t="inlineStr">
        <is>
          <t>data marketing analysit phd level</t>
        </is>
      </c>
    </row>
    <row r="3" ht="15.75" customHeight="1">
      <c r="A3" s="4" t="inlineStr">
        <is>
          <t>First MRR</t>
        </is>
      </c>
      <c r="B3" s="8" t="n">
        <v>376476</v>
      </c>
      <c r="C3" s="9" t="n">
        <v>295000</v>
      </c>
      <c r="D3" s="8">
        <f>C3/B15</f>
        <v/>
      </c>
      <c r="E3" s="6">
        <f>D3/B3</f>
        <v/>
      </c>
      <c r="F3" s="6" t="n">
        <v>0.105</v>
      </c>
      <c r="H3" s="7" t="inlineStr">
        <is>
          <t>lexicon</t>
        </is>
      </c>
    </row>
    <row r="4" ht="15.75" customHeight="1">
      <c r="A4" s="4" t="inlineStr">
        <is>
          <t>Net MRR</t>
        </is>
      </c>
      <c r="B4" s="8" t="n">
        <v>208094</v>
      </c>
      <c r="C4" s="9" t="n">
        <v>155000</v>
      </c>
      <c r="D4" s="8">
        <f>C4/B15</f>
        <v/>
      </c>
      <c r="E4" s="6">
        <f>D4/B4</f>
        <v/>
      </c>
      <c r="F4" s="6" t="n">
        <v>0.16</v>
      </c>
      <c r="H4" s="7" t="inlineStr">
        <is>
          <t>generate tables local</t>
        </is>
      </c>
    </row>
    <row r="5" ht="15.75" customHeight="1">
      <c r="A5" s="4" t="inlineStr">
        <is>
          <t>SQLs - Agency</t>
        </is>
      </c>
      <c r="B5" s="4" t="n">
        <v>1518</v>
      </c>
      <c r="C5" s="4" t="n">
        <v>417</v>
      </c>
      <c r="D5" s="10">
        <f>C5/$B$14</f>
        <v/>
      </c>
      <c r="E5" s="6">
        <f>D5/B5</f>
        <v/>
      </c>
      <c r="F5" s="41" t="n">
        <v>0.14</v>
      </c>
      <c r="H5" s="7" t="inlineStr">
        <is>
          <t>calc RR</t>
        </is>
      </c>
    </row>
    <row r="6" ht="15.75" customHeight="1">
      <c r="A6" s="4" t="inlineStr">
        <is>
          <t>SQLs - EU</t>
        </is>
      </c>
      <c r="B6" s="4" t="n">
        <v>373</v>
      </c>
      <c r="C6" s="4" t="n">
        <v>159</v>
      </c>
      <c r="D6" s="10">
        <f>C6/$B$14</f>
        <v/>
      </c>
      <c r="E6" s="6">
        <f>D6/B6</f>
        <v/>
      </c>
      <c r="F6" s="42" t="n"/>
      <c r="H6" s="7" t="inlineStr">
        <is>
          <t>generate PDF (then send to slack)</t>
        </is>
      </c>
    </row>
    <row r="7" ht="15.75" customHeight="1">
      <c r="A7" s="4" t="inlineStr">
        <is>
          <t>SQLs - Ent</t>
        </is>
      </c>
      <c r="B7" s="4" t="n">
        <v>101</v>
      </c>
      <c r="C7" s="4" t="n">
        <v>37</v>
      </c>
      <c r="D7" s="10">
        <f>C7/$B$14</f>
        <v/>
      </c>
      <c r="E7" s="6">
        <f>D7/B7</f>
        <v/>
      </c>
      <c r="F7" s="43" t="n"/>
      <c r="H7" s="7" t="inlineStr">
        <is>
          <t>Create new GSheet</t>
        </is>
      </c>
    </row>
    <row r="8" ht="15.75" customHeight="1">
      <c r="A8" s="4" t="inlineStr">
        <is>
          <t>Pipe - Agency</t>
        </is>
      </c>
      <c r="B8" s="9" t="n">
        <v>267000</v>
      </c>
      <c r="C8" s="9" t="n">
        <v>100429.11</v>
      </c>
      <c r="D8" s="8">
        <f>C8/$B$14</f>
        <v/>
      </c>
      <c r="E8" s="6">
        <f>D8/B8</f>
        <v/>
      </c>
      <c r="F8" s="41" t="n">
        <v>0.38</v>
      </c>
      <c r="H8" s="7" t="inlineStr">
        <is>
          <t>I'm, this is what I expect - create prompt and what you need in order to generate that end result</t>
        </is>
      </c>
    </row>
    <row r="9" ht="15.75" customHeight="1">
      <c r="A9" s="4" t="inlineStr">
        <is>
          <t>Pipe - EU</t>
        </is>
      </c>
      <c r="B9" s="9" t="n">
        <v>74366</v>
      </c>
      <c r="C9" s="9" t="n">
        <v>34430.25</v>
      </c>
      <c r="D9" s="8">
        <f>C9/$B$14</f>
        <v/>
      </c>
      <c r="E9" s="6">
        <f>D9/B9</f>
        <v/>
      </c>
      <c r="F9" s="42" t="n"/>
    </row>
    <row r="10" ht="15.75" customHeight="1">
      <c r="A10" s="4" t="inlineStr">
        <is>
          <t>Pipe - Ent</t>
        </is>
      </c>
      <c r="B10" s="9" t="n">
        <v>65100</v>
      </c>
      <c r="C10" s="9" t="n">
        <v>18016.67</v>
      </c>
      <c r="D10" s="8">
        <f>C10/$B$14</f>
        <v/>
      </c>
      <c r="E10" s="6">
        <f>D10/B10</f>
        <v/>
      </c>
      <c r="F10" s="43" t="n"/>
    </row>
    <row r="11" ht="15.75" customHeight="1">
      <c r="A11" s="4" t="inlineStr">
        <is>
          <t>B2B MRR</t>
        </is>
      </c>
      <c r="B11" s="9" t="n">
        <v>260474</v>
      </c>
      <c r="C11" s="9" t="n">
        <v>65260.26</v>
      </c>
      <c r="D11" s="8">
        <f>C11/$B$14</f>
        <v/>
      </c>
      <c r="E11" s="6">
        <f>D11/B11</f>
        <v/>
      </c>
      <c r="F11" s="6" t="n">
        <v>1.02</v>
      </c>
    </row>
    <row r="12" ht="15.75" customHeight="1">
      <c r="A12" s="11" t="n"/>
      <c r="B12" s="12" t="n"/>
      <c r="C12" s="12" t="n"/>
      <c r="D12" s="12" t="n"/>
      <c r="E12" s="13" t="n"/>
      <c r="F12" s="13" t="n"/>
    </row>
    <row r="13" ht="15.75" customHeight="1">
      <c r="A13" s="11" t="inlineStr">
        <is>
          <t>Run-Rate</t>
        </is>
      </c>
      <c r="B13" s="11" t="n"/>
      <c r="C13" s="11" t="n"/>
      <c r="D13" s="11" t="n"/>
      <c r="E13" s="11" t="n"/>
      <c r="F13" s="11" t="n"/>
    </row>
    <row r="14" ht="15.75" customHeight="1">
      <c r="A14" s="11" t="inlineStr">
        <is>
          <t>Q</t>
        </is>
      </c>
      <c r="B14" s="14">
        <f>(NETWORKDAYS(DATE(2026,2,1), A1) - 1) / NETWORKDAYS(DATE(2026,2,1), DATE(2026,4,30))</f>
        <v/>
      </c>
      <c r="C14" s="11" t="n"/>
      <c r="D14" s="11" t="n"/>
      <c r="E14" s="11" t="n"/>
      <c r="F14" s="11" t="n"/>
      <c r="J14" s="15" t="n"/>
      <c r="K14" s="15" t="n"/>
    </row>
    <row r="15" ht="15.75" customHeight="1">
      <c r="A15" s="11" t="inlineStr">
        <is>
          <t>Month</t>
        </is>
      </c>
      <c r="B15" s="16">
        <f>DAY(A1)/DAY(EOMONTH(A1, 0))</f>
        <v/>
      </c>
      <c r="C15" s="11" t="n"/>
      <c r="D15" s="11" t="n"/>
      <c r="E15" s="17" t="n"/>
      <c r="F15" s="11" t="n"/>
      <c r="J15" s="15" t="n"/>
      <c r="K15" s="15" t="n"/>
    </row>
    <row r="16" ht="15.75" customHeight="1">
      <c r="A16" s="11" t="n"/>
      <c r="B16" s="11" t="n"/>
      <c r="C16" s="11" t="n"/>
      <c r="D16" s="11" t="n"/>
      <c r="E16" s="11" t="n"/>
      <c r="F16" s="11" t="n"/>
      <c r="J16" s="15" t="n"/>
      <c r="K16" s="15" t="n"/>
    </row>
    <row r="17" ht="15.75" customHeight="1">
      <c r="A17" s="11" t="n"/>
      <c r="C17" s="11" t="n"/>
      <c r="D17" s="11" t="n"/>
      <c r="E17" s="11" t="n"/>
      <c r="F17" s="18" t="n"/>
    </row>
    <row r="18" ht="15.75" customHeight="1">
      <c r="G18" s="19" t="n"/>
      <c r="H18" s="19" t="n"/>
      <c r="I18" s="19" t="n"/>
      <c r="J18" s="20" t="n"/>
    </row>
    <row r="19" ht="15.75" customHeight="1">
      <c r="A19" s="21" t="inlineStr">
        <is>
          <t>PLG</t>
        </is>
      </c>
      <c r="B19" s="21" t="inlineStr">
        <is>
          <t>Targets Q1</t>
        </is>
      </c>
      <c r="C19" s="21" t="inlineStr">
        <is>
          <t>Target Trials</t>
        </is>
      </c>
      <c r="D19" s="21" t="inlineStr">
        <is>
          <t>Target FMRR</t>
        </is>
      </c>
      <c r="E19" s="21" t="inlineStr">
        <is>
          <t>Current Trials</t>
        </is>
      </c>
      <c r="F19" s="21" t="inlineStr">
        <is>
          <t>Current First MRR</t>
        </is>
      </c>
      <c r="G19" s="21" t="inlineStr">
        <is>
          <t>Run Rate attainment - trials</t>
        </is>
      </c>
      <c r="H19" s="21" t="inlineStr">
        <is>
          <t>Run Rate attainment - Frist MRR</t>
        </is>
      </c>
      <c r="I19" s="21" t="inlineStr">
        <is>
          <t>Status</t>
        </is>
      </c>
      <c r="J19" s="20" t="n"/>
    </row>
    <row r="20" ht="15.75" customHeight="1">
      <c r="A20" s="22" t="inlineStr">
        <is>
          <t>direct</t>
        </is>
      </c>
      <c r="B20" s="23" t="n">
        <v>0.225</v>
      </c>
      <c r="C20" s="23" t="n"/>
      <c r="D20" s="23" t="n"/>
      <c r="E20" s="23" t="n"/>
      <c r="F20" s="23" t="n"/>
      <c r="G20" s="23" t="n"/>
      <c r="H20" s="23" t="n"/>
      <c r="I20" s="23" t="n"/>
      <c r="J20" s="19" t="n"/>
    </row>
    <row r="21" ht="15.75" customHeight="1">
      <c r="A21" s="22" t="inlineStr">
        <is>
          <t>Unknown</t>
        </is>
      </c>
      <c r="B21" s="23" t="n">
        <v>0.13</v>
      </c>
      <c r="C21" s="23" t="n"/>
      <c r="D21" s="23" t="n"/>
      <c r="E21" s="23" t="n"/>
      <c r="F21" s="23" t="n"/>
      <c r="G21" s="23" t="n"/>
      <c r="H21" s="23" t="n"/>
      <c r="I21" s="23" t="n"/>
    </row>
    <row r="22" ht="15.75" customHeight="1">
      <c r="A22" s="22" t="inlineStr">
        <is>
          <t>organic search non brand</t>
        </is>
      </c>
      <c r="B22" s="23" t="n">
        <v>0.14</v>
      </c>
      <c r="C22" s="23" t="n"/>
      <c r="D22" s="24" t="n"/>
      <c r="E22" s="23" t="n"/>
      <c r="F22" s="24" t="n"/>
      <c r="G22" s="23" t="n"/>
      <c r="H22" s="24" t="n"/>
      <c r="I22" s="24" t="n"/>
    </row>
    <row r="23" ht="15.75" customHeight="1">
      <c r="A23" s="22" t="inlineStr">
        <is>
          <t>organic search brand</t>
        </is>
      </c>
      <c r="B23" s="23" t="n">
        <v>0.12</v>
      </c>
      <c r="C23" s="23" t="n"/>
      <c r="D23" s="23" t="n"/>
      <c r="E23" s="23" t="n"/>
      <c r="F23" s="23" t="n"/>
      <c r="G23" s="23" t="n"/>
      <c r="H23" s="23" t="n"/>
      <c r="I23" s="23" t="n"/>
    </row>
    <row r="24" ht="15.75" customHeight="1">
      <c r="A24" s="22" t="inlineStr">
        <is>
          <t>Paid Search (Brand)</t>
        </is>
      </c>
      <c r="B24" s="23" t="n">
        <v>0.11</v>
      </c>
      <c r="C24" s="23" t="n"/>
      <c r="D24" s="23" t="n"/>
      <c r="E24" s="23" t="n"/>
      <c r="F24" s="23" t="n"/>
      <c r="G24" s="23" t="n"/>
      <c r="H24" s="23" t="n"/>
      <c r="I24" s="23" t="n"/>
    </row>
    <row r="25" ht="15.75" customHeight="1">
      <c r="A25" s="11" t="inlineStr">
        <is>
          <t>Paid (Non-Brand)</t>
        </is>
      </c>
      <c r="B25" s="23" t="n">
        <v>0.11</v>
      </c>
      <c r="C25" s="23" t="n"/>
      <c r="D25" s="23" t="n"/>
      <c r="E25" s="23" t="n"/>
      <c r="F25" s="23" t="n"/>
      <c r="G25" s="23" t="n"/>
      <c r="H25" s="23" t="n"/>
      <c r="I25" s="23" t="n"/>
    </row>
    <row r="26" ht="15.75" customHeight="1">
      <c r="A26" s="22" t="inlineStr">
        <is>
          <t>guest</t>
        </is>
      </c>
      <c r="B26" s="24" t="n">
        <v>0.06</v>
      </c>
      <c r="C26" s="24" t="n"/>
      <c r="D26" s="24" t="n"/>
      <c r="E26" s="24" t="n"/>
      <c r="F26" s="24" t="n"/>
      <c r="G26" s="24" t="n"/>
      <c r="H26" s="24" t="n"/>
      <c r="I26" s="24" t="n"/>
    </row>
    <row r="27" ht="15.75" customHeight="1">
      <c r="A27" s="11" t="inlineStr">
        <is>
          <t>Growth channels</t>
        </is>
      </c>
      <c r="B27" s="24" t="n">
        <v>0.03</v>
      </c>
      <c r="C27" s="24" t="n"/>
      <c r="D27" s="24" t="n"/>
      <c r="E27" s="24" t="n"/>
      <c r="F27" s="24" t="n"/>
      <c r="G27" s="24" t="n"/>
      <c r="H27" s="24" t="n"/>
      <c r="I27" s="24" t="n"/>
    </row>
    <row r="28" ht="15.75" customHeight="1">
      <c r="A28" s="22" t="inlineStr">
        <is>
          <t>organic social</t>
        </is>
      </c>
      <c r="B28" s="23" t="n">
        <v>0.02</v>
      </c>
      <c r="C28" s="23" t="n"/>
      <c r="D28" s="23" t="n"/>
      <c r="E28" s="23" t="n"/>
      <c r="F28" s="23" t="n"/>
      <c r="G28" s="23" t="n"/>
      <c r="H28" s="23" t="n"/>
      <c r="I28" s="23" t="n"/>
    </row>
    <row r="29" ht="15.75" customHeight="1">
      <c r="A29" s="11" t="inlineStr">
        <is>
          <t>referral</t>
        </is>
      </c>
      <c r="B29" s="23" t="n">
        <v>0.01</v>
      </c>
      <c r="C29" s="23" t="n"/>
      <c r="D29" s="23" t="n"/>
      <c r="E29" s="23" t="n"/>
      <c r="F29" s="23" t="n"/>
      <c r="G29" s="23" t="n"/>
      <c r="H29" s="23" t="n"/>
      <c r="I29" s="23" t="n"/>
    </row>
    <row r="30" ht="15.75" customHeight="1">
      <c r="A30" s="22" t="inlineStr">
        <is>
          <t>organic llm</t>
        </is>
      </c>
      <c r="B30" s="23" t="n">
        <v>0.01</v>
      </c>
      <c r="C30" s="23" t="n"/>
      <c r="D30" s="23" t="n"/>
      <c r="E30" s="23" t="n"/>
      <c r="F30" s="23" t="n"/>
      <c r="G30" s="23" t="n"/>
      <c r="H30" s="23" t="n"/>
      <c r="I30" s="23" t="n"/>
    </row>
    <row r="31" ht="15.75" customHeight="1">
      <c r="A31" s="22" t="inlineStr">
        <is>
          <t>Creators Partnerships</t>
        </is>
      </c>
      <c r="B31" s="23" t="n">
        <v>0.005</v>
      </c>
      <c r="C31" s="23" t="n"/>
      <c r="D31" s="23" t="n"/>
      <c r="E31" s="23" t="n"/>
      <c r="F31" s="23" t="n"/>
      <c r="G31" s="23" t="n"/>
      <c r="H31" s="23" t="n"/>
      <c r="I31" s="23" t="n"/>
    </row>
    <row r="32" ht="15.75" customHeight="1">
      <c r="A32" s="22" t="inlineStr">
        <is>
          <t>integration partner</t>
        </is>
      </c>
      <c r="B32" s="24" t="n">
        <v>0.03</v>
      </c>
      <c r="C32" s="24" t="n"/>
      <c r="D32" s="24" t="n"/>
      <c r="E32" s="24" t="n"/>
      <c r="F32" s="24" t="n"/>
      <c r="G32" s="24" t="n"/>
      <c r="H32" s="24" t="n"/>
      <c r="I32" s="24" t="n"/>
    </row>
    <row r="33" ht="15.75" customHeight="1">
      <c r="A33" s="22" t="inlineStr">
        <is>
          <t>TOTAL</t>
        </is>
      </c>
      <c r="B33" s="24">
        <f>SUM(B20:B32)</f>
        <v/>
      </c>
      <c r="C33" s="24" t="n"/>
      <c r="D33" s="24" t="n"/>
      <c r="E33" s="24" t="n"/>
      <c r="F33" s="24" t="n"/>
      <c r="G33" s="24" t="n"/>
      <c r="H33" s="24" t="n"/>
      <c r="I33" s="24" t="n"/>
    </row>
    <row r="38" ht="15.75" customHeight="1">
      <c r="A38" s="21" t="inlineStr">
        <is>
          <t>SLG</t>
        </is>
      </c>
      <c r="B38" s="21" t="inlineStr">
        <is>
          <t>Q1</t>
        </is>
      </c>
      <c r="C38" s="21" t="inlineStr">
        <is>
          <t>Q2</t>
        </is>
      </c>
      <c r="D38" s="21" t="inlineStr">
        <is>
          <t>Q3</t>
        </is>
      </c>
      <c r="E38" s="21" t="inlineStr">
        <is>
          <t>Q4</t>
        </is>
      </c>
    </row>
    <row r="39" ht="15.75" customHeight="1">
      <c r="A39" s="35" t="inlineStr">
        <is>
          <t>Direct</t>
        </is>
      </c>
      <c r="B39" s="36" t="n">
        <v>0.27</v>
      </c>
      <c r="C39" s="36" t="n">
        <v>0.27</v>
      </c>
      <c r="D39" s="36" t="n">
        <v>0.27</v>
      </c>
      <c r="E39" s="36" t="n">
        <v>0.27</v>
      </c>
    </row>
    <row r="40" ht="15.75" customHeight="1">
      <c r="A40" s="35" t="inlineStr">
        <is>
          <t>Paid Search (Brand)</t>
        </is>
      </c>
      <c r="B40" s="36" t="n">
        <v>0.15</v>
      </c>
      <c r="C40" s="36" t="n">
        <v>0.14</v>
      </c>
      <c r="D40" s="36" t="n">
        <v>0.13</v>
      </c>
      <c r="E40" s="36" t="n">
        <v>0.12</v>
      </c>
    </row>
    <row r="41" ht="15.75" customHeight="1">
      <c r="A41" s="35" t="inlineStr">
        <is>
          <t>Paid (Non-Brand)</t>
        </is>
      </c>
      <c r="B41" s="36" t="n">
        <v>0.1</v>
      </c>
      <c r="C41" s="36" t="n">
        <v>0.1</v>
      </c>
      <c r="D41" s="36" t="n">
        <v>0.1</v>
      </c>
      <c r="E41" s="36" t="n">
        <v>0.1</v>
      </c>
    </row>
    <row r="42" ht="15.75" customHeight="1">
      <c r="A42" s="35" t="inlineStr">
        <is>
          <t>Unknown</t>
        </is>
      </c>
      <c r="B42" s="36" t="n">
        <v>0.12</v>
      </c>
      <c r="C42" s="36" t="n">
        <v>0.12</v>
      </c>
      <c r="D42" s="36" t="n">
        <v>0.12</v>
      </c>
      <c r="E42" s="36" t="n">
        <v>0.12</v>
      </c>
    </row>
    <row r="43" ht="15.75" customHeight="1">
      <c r="A43" s="35" t="inlineStr">
        <is>
          <t>Organic Search (Brand)</t>
        </is>
      </c>
      <c r="B43" s="36" t="n">
        <v>0.1</v>
      </c>
      <c r="C43" s="36" t="n">
        <v>0.11</v>
      </c>
      <c r="D43" s="36" t="n">
        <v>0.11</v>
      </c>
      <c r="E43" s="36" t="n">
        <v>0.12</v>
      </c>
    </row>
    <row r="44" ht="15.75" customHeight="1">
      <c r="A44" s="35" t="inlineStr">
        <is>
          <t>Guest</t>
        </is>
      </c>
      <c r="B44" s="37" t="n">
        <v>0.09</v>
      </c>
      <c r="C44" s="37" t="n">
        <v>0.09</v>
      </c>
      <c r="D44" s="37" t="n">
        <v>0.09</v>
      </c>
      <c r="E44" s="37" t="n">
        <v>0.09</v>
      </c>
    </row>
    <row r="45" ht="15.75" customHeight="1">
      <c r="A45" s="35" t="inlineStr">
        <is>
          <t>Organic Search (Non-Brand)</t>
        </is>
      </c>
      <c r="B45" s="36" t="n">
        <v>0.13</v>
      </c>
      <c r="C45" s="36" t="n">
        <v>0.12</v>
      </c>
      <c r="D45" s="36" t="n">
        <v>0.11</v>
      </c>
      <c r="E45" s="36" t="n">
        <v>0.1</v>
      </c>
    </row>
    <row r="46" ht="15.75" customHeight="1">
      <c r="A46" s="35" t="inlineStr">
        <is>
          <t>Affiliate</t>
        </is>
      </c>
      <c r="B46" s="37" t="n">
        <v>0.02</v>
      </c>
      <c r="C46" s="37" t="n">
        <v>0.03</v>
      </c>
      <c r="D46" s="37" t="n">
        <v>0.04</v>
      </c>
      <c r="E46" s="37" t="n">
        <v>0.05</v>
      </c>
    </row>
    <row r="47" ht="15.75" customHeight="1">
      <c r="A47" s="35" t="inlineStr">
        <is>
          <t>Referral</t>
        </is>
      </c>
      <c r="B47" s="37" t="n">
        <v>0.01</v>
      </c>
      <c r="C47" s="37" t="n">
        <v>0.01</v>
      </c>
      <c r="D47" s="37" t="n">
        <v>0.01</v>
      </c>
      <c r="E47" s="37" t="n">
        <v>0.01</v>
      </c>
    </row>
    <row r="48" ht="15.75" customHeight="1">
      <c r="A48" s="35" t="inlineStr">
        <is>
          <t>Organic LLM</t>
        </is>
      </c>
      <c r="B48" s="36" t="n">
        <v>0.01</v>
      </c>
      <c r="C48" s="36" t="n">
        <v>0.01</v>
      </c>
      <c r="D48" s="36" t="n">
        <v>0.01</v>
      </c>
      <c r="E48" s="36" t="n">
        <v>0.01</v>
      </c>
    </row>
    <row r="49" ht="15.75" customHeight="1">
      <c r="A49" s="35" t="inlineStr">
        <is>
          <t>Creators Partnerships</t>
        </is>
      </c>
      <c r="B49" s="36" t="n">
        <v>0</v>
      </c>
      <c r="C49" s="36" t="n">
        <v>0.01</v>
      </c>
      <c r="D49" s="36" t="n">
        <v>0.01</v>
      </c>
      <c r="E49" s="36" t="n">
        <v>0.01</v>
      </c>
    </row>
    <row r="50" ht="15.75" customHeight="1">
      <c r="A50" s="35" t="inlineStr">
        <is>
          <t>Organic Social</t>
        </is>
      </c>
      <c r="B50" s="36" t="n">
        <v>0</v>
      </c>
      <c r="C50" s="36" t="n">
        <v>0</v>
      </c>
      <c r="D50" s="36" t="n">
        <v>0</v>
      </c>
      <c r="E50" s="36" t="n">
        <v>0</v>
      </c>
    </row>
    <row r="51" ht="15.75" customHeight="1">
      <c r="A51" s="35" t="inlineStr">
        <is>
          <t>integration partner</t>
        </is>
      </c>
      <c r="B51" s="36" t="n">
        <v>0</v>
      </c>
      <c r="C51" s="36" t="n">
        <v>0</v>
      </c>
      <c r="D51" s="36" t="n">
        <v>0</v>
      </c>
      <c r="E51" s="36" t="n">
        <v>0</v>
      </c>
    </row>
    <row r="52" ht="15.75" customHeight="1">
      <c r="A52" s="35" t="inlineStr">
        <is>
          <t>TOTAL</t>
        </is>
      </c>
      <c r="B52" s="37" t="n">
        <v>1</v>
      </c>
      <c r="C52" s="37" t="n">
        <v>1</v>
      </c>
      <c r="D52" s="37" t="n">
        <v>1</v>
      </c>
      <c r="E52" s="37" t="n">
        <v>1</v>
      </c>
    </row>
  </sheetData>
  <mergeCells count="2">
    <mergeCell ref="F5:F7"/>
    <mergeCell ref="F8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152"/>
  <sheetViews>
    <sheetView tabSelected="1" zoomScale="120" zoomScaleNormal="120" workbookViewId="0">
      <selection activeCell="F24" sqref="F24"/>
    </sheetView>
  </sheetViews>
  <sheetFormatPr baseColWidth="10" defaultColWidth="12.6640625" defaultRowHeight="15.75" customHeight="1"/>
  <cols>
    <col width="34.1640625" customWidth="1" min="2" max="2"/>
  </cols>
  <sheetData>
    <row r="1" ht="15.75" customHeight="1">
      <c r="C1" s="7" t="inlineStr">
        <is>
          <t>February</t>
        </is>
      </c>
      <c r="D1" s="7" t="inlineStr">
        <is>
          <t>March</t>
        </is>
      </c>
      <c r="E1" s="7" t="inlineStr">
        <is>
          <t>April</t>
        </is>
      </c>
      <c r="F1" s="7" t="inlineStr">
        <is>
          <t>May</t>
        </is>
      </c>
      <c r="G1" s="7" t="inlineStr">
        <is>
          <t>June</t>
        </is>
      </c>
      <c r="H1" s="7" t="inlineStr">
        <is>
          <t>July</t>
        </is>
      </c>
      <c r="I1" s="7" t="inlineStr">
        <is>
          <t>August</t>
        </is>
      </c>
      <c r="J1" s="7" t="inlineStr">
        <is>
          <t>September</t>
        </is>
      </c>
      <c r="K1" s="7" t="inlineStr">
        <is>
          <t>October</t>
        </is>
      </c>
      <c r="L1" s="7" t="inlineStr">
        <is>
          <t>November</t>
        </is>
      </c>
      <c r="M1" s="7" t="inlineStr">
        <is>
          <t>December</t>
        </is>
      </c>
      <c r="N1" s="7" t="inlineStr">
        <is>
          <t>January</t>
        </is>
      </c>
      <c r="O1" s="7" t="inlineStr">
        <is>
          <t>Total 2026</t>
        </is>
      </c>
      <c r="P1" s="7" t="inlineStr">
        <is>
          <t>Avg/mo</t>
        </is>
      </c>
    </row>
    <row r="2" ht="15.75" customHeight="1">
      <c r="A2" s="7" t="n"/>
      <c r="B2" s="25" t="inlineStr">
        <is>
          <t>Traffic (unique visitors)</t>
        </is>
      </c>
      <c r="C2" s="19" t="n">
        <v>2222000</v>
      </c>
      <c r="D2" s="19" t="n">
        <v>2244220</v>
      </c>
      <c r="E2" s="19" t="n">
        <v>2266662</v>
      </c>
      <c r="F2" s="19" t="n">
        <v>2289329</v>
      </c>
      <c r="G2" s="19" t="n">
        <v>2312222</v>
      </c>
      <c r="H2" s="19" t="n">
        <v>2335344</v>
      </c>
      <c r="I2" s="19" t="n">
        <v>2358698</v>
      </c>
      <c r="J2" s="19" t="n">
        <v>2382285</v>
      </c>
      <c r="K2" s="19" t="n">
        <v>2406108</v>
      </c>
      <c r="L2" s="19" t="n">
        <v>2430169</v>
      </c>
      <c r="M2" s="19" t="n">
        <v>2454470</v>
      </c>
      <c r="N2" s="19" t="n">
        <v>2479015</v>
      </c>
      <c r="O2" s="19" t="n">
        <v>28180522</v>
      </c>
    </row>
    <row r="3" ht="15.75" customHeight="1">
      <c r="A3" s="7" t="n"/>
      <c r="B3" s="26" t="inlineStr">
        <is>
          <t>CVR First Visit To Sign Up</t>
        </is>
      </c>
      <c r="C3" s="27" t="n">
        <v>0.0829</v>
      </c>
      <c r="D3" s="27" t="n">
        <v>0.0833</v>
      </c>
      <c r="E3" s="27" t="n">
        <v>0.0837</v>
      </c>
      <c r="F3" s="27" t="n">
        <v>0.0842</v>
      </c>
      <c r="G3" s="27" t="n">
        <v>0.08459999999999999</v>
      </c>
      <c r="H3" s="27" t="n">
        <v>0.08500000000000001</v>
      </c>
      <c r="I3" s="27" t="n">
        <v>0.0854</v>
      </c>
      <c r="J3" s="27" t="n">
        <v>0.0859</v>
      </c>
      <c r="K3" s="27" t="n">
        <v>0.0863</v>
      </c>
      <c r="L3" s="27" t="n">
        <v>0.0867</v>
      </c>
      <c r="M3" s="27" t="n">
        <v>0.0872</v>
      </c>
      <c r="N3" s="27" t="n">
        <v>0.0876</v>
      </c>
      <c r="O3" s="27" t="n">
        <v>0.08799999999999999</v>
      </c>
      <c r="P3" s="19" t="n">
        <v>217133</v>
      </c>
    </row>
    <row r="4" ht="15.75" customHeight="1">
      <c r="A4" s="7" t="n"/>
      <c r="B4" s="26" t="inlineStr">
        <is>
          <t># Sign Ups</t>
        </is>
      </c>
      <c r="C4" s="7" t="n">
        <v>169982</v>
      </c>
      <c r="D4" s="7" t="n">
        <v>175081</v>
      </c>
      <c r="E4" s="7" t="n">
        <v>180334</v>
      </c>
      <c r="F4" s="7" t="n">
        <v>185744</v>
      </c>
      <c r="G4" s="7" t="n">
        <v>191316</v>
      </c>
      <c r="H4" s="7" t="n">
        <v>197056</v>
      </c>
      <c r="I4" s="7" t="n">
        <v>168295</v>
      </c>
      <c r="J4" s="7" t="n">
        <v>168295</v>
      </c>
      <c r="K4" s="7" t="n">
        <v>168295</v>
      </c>
      <c r="L4" s="7" t="n">
        <v>221788</v>
      </c>
      <c r="M4" s="7" t="n">
        <v>228441</v>
      </c>
      <c r="N4" s="7" t="n">
        <v>235295</v>
      </c>
      <c r="O4" s="19" t="n">
        <v>2412388</v>
      </c>
    </row>
    <row r="5" ht="15.75" customHeight="1">
      <c r="A5" s="7" t="n"/>
      <c r="B5" s="26" t="inlineStr">
        <is>
          <t>CVR Sign Up To Trial</t>
        </is>
      </c>
      <c r="C5" s="27" t="n">
        <v>0.1343</v>
      </c>
      <c r="D5" s="27" t="n">
        <v>0.1413</v>
      </c>
      <c r="E5" s="27" t="n">
        <v>0.1341</v>
      </c>
      <c r="F5" s="27" t="n">
        <v>0.12</v>
      </c>
      <c r="G5" s="27" t="n">
        <v>0.117</v>
      </c>
      <c r="H5" s="27" t="n">
        <v>0.128</v>
      </c>
      <c r="I5" s="27" t="n">
        <v>0.1085</v>
      </c>
      <c r="J5" s="27" t="n">
        <v>0.1085</v>
      </c>
      <c r="K5" s="27" t="n">
        <v>0.1085</v>
      </c>
      <c r="L5" s="27" t="n">
        <v>0.1369</v>
      </c>
      <c r="M5" s="27" t="n">
        <v>0.1302</v>
      </c>
      <c r="N5" s="27" t="n">
        <v>0.1306</v>
      </c>
      <c r="O5" s="27" t="n">
        <v>0.134</v>
      </c>
    </row>
    <row r="6" ht="15.75" customHeight="1">
      <c r="A6" s="7" t="n"/>
      <c r="B6" s="7" t="inlineStr">
        <is>
          <t>Trial</t>
        </is>
      </c>
      <c r="C6" s="19" t="n">
        <v>22824</v>
      </c>
      <c r="D6" s="19" t="n">
        <v>24739</v>
      </c>
      <c r="E6" s="19" t="n">
        <v>24180</v>
      </c>
      <c r="F6" s="19" t="n">
        <v>22290</v>
      </c>
      <c r="G6" s="19" t="n">
        <v>22377</v>
      </c>
      <c r="H6" s="19" t="n">
        <v>25225</v>
      </c>
      <c r="I6" s="19" t="n">
        <v>16600</v>
      </c>
      <c r="J6" s="19" t="n">
        <v>16600</v>
      </c>
      <c r="K6" s="19" t="n">
        <v>16600</v>
      </c>
      <c r="L6" s="19" t="n">
        <v>30371</v>
      </c>
      <c r="M6" s="19" t="n">
        <v>29738</v>
      </c>
      <c r="N6" s="19" t="n">
        <v>30731</v>
      </c>
      <c r="O6" s="19" t="n">
        <v>322524</v>
      </c>
    </row>
    <row r="7" ht="15.75" customHeight="1">
      <c r="A7" s="7" t="n"/>
      <c r="B7" s="26" t="inlineStr">
        <is>
          <t>CVR Trial To Subscription</t>
        </is>
      </c>
      <c r="C7" s="27" t="n">
        <v>0.622</v>
      </c>
      <c r="D7" s="27" t="n">
        <v>0.626</v>
      </c>
      <c r="E7" s="27" t="n">
        <v>0.63</v>
      </c>
      <c r="F7" s="27" t="n">
        <v>0.633</v>
      </c>
      <c r="G7" s="27" t="n">
        <v>0.634</v>
      </c>
      <c r="H7" s="27" t="n">
        <v>0.636</v>
      </c>
      <c r="I7" s="27" t="n">
        <v>0.597</v>
      </c>
      <c r="J7" s="27" t="n">
        <v>0.597</v>
      </c>
      <c r="K7" s="27" t="n">
        <v>0.597</v>
      </c>
      <c r="L7" s="27" t="n">
        <v>0.641</v>
      </c>
      <c r="M7" s="27" t="n">
        <v>0.643</v>
      </c>
      <c r="N7" s="27" t="n">
        <v>0.644</v>
      </c>
      <c r="O7" s="27" t="n">
        <v>0.636</v>
      </c>
    </row>
    <row r="8" ht="15.75" customHeight="1">
      <c r="A8" s="7" t="n"/>
      <c r="B8" s="26" t="inlineStr">
        <is>
          <t># Subscriptions</t>
        </is>
      </c>
      <c r="C8" s="19" t="n">
        <v>14207</v>
      </c>
      <c r="D8" s="19" t="n">
        <v>15488</v>
      </c>
      <c r="E8" s="19" t="n">
        <v>15238</v>
      </c>
      <c r="F8" s="19" t="n">
        <v>14121</v>
      </c>
      <c r="G8" s="19" t="n">
        <v>14194</v>
      </c>
      <c r="H8" s="19" t="n">
        <v>16037</v>
      </c>
      <c r="I8" s="19" t="n">
        <v>10901</v>
      </c>
      <c r="J8" s="19" t="n">
        <v>10901</v>
      </c>
      <c r="K8" s="19" t="n">
        <v>10901</v>
      </c>
      <c r="L8" s="19" t="n">
        <v>19475</v>
      </c>
      <c r="M8" s="19" t="n">
        <v>19108</v>
      </c>
      <c r="N8" s="19" t="n">
        <v>19790</v>
      </c>
      <c r="O8" s="19" t="n">
        <v>205085</v>
      </c>
    </row>
    <row r="9" ht="15.75" customHeight="1">
      <c r="A9" s="7" t="n"/>
      <c r="B9" s="7" t="inlineStr">
        <is>
          <t>ARPU</t>
        </is>
      </c>
      <c r="C9" s="15" t="n">
        <v>27.89</v>
      </c>
      <c r="D9" s="15" t="n">
        <v>26.59</v>
      </c>
      <c r="E9" s="15" t="n">
        <v>28.09</v>
      </c>
      <c r="F9" s="15" t="n">
        <v>31.5</v>
      </c>
      <c r="G9" s="15" t="n">
        <v>32.57</v>
      </c>
      <c r="H9" s="15" t="n">
        <v>29.96</v>
      </c>
      <c r="I9" s="15" t="n">
        <v>27.52</v>
      </c>
      <c r="J9" s="15" t="n">
        <v>27.52</v>
      </c>
      <c r="K9" s="15" t="n">
        <v>27.52</v>
      </c>
      <c r="L9" s="15" t="n">
        <v>28.79</v>
      </c>
      <c r="M9" s="15" t="n">
        <v>30.49</v>
      </c>
      <c r="N9" s="15" t="n">
        <v>30.6</v>
      </c>
      <c r="O9" s="28" t="n">
        <v>29</v>
      </c>
    </row>
    <row r="10" ht="15.75" customHeight="1">
      <c r="A10" s="7" t="n"/>
      <c r="B10" s="26" t="inlineStr">
        <is>
          <t>First MRR</t>
        </is>
      </c>
      <c r="C10" s="28" t="n">
        <v>396291</v>
      </c>
      <c r="D10" s="28" t="n">
        <v>411862</v>
      </c>
      <c r="E10" s="28" t="n">
        <v>428044</v>
      </c>
      <c r="F10" s="28" t="n">
        <v>444862</v>
      </c>
      <c r="G10" s="28" t="n">
        <v>462341</v>
      </c>
      <c r="H10" s="28" t="n">
        <v>480506</v>
      </c>
      <c r="I10" s="28" t="n">
        <v>299996</v>
      </c>
      <c r="J10" s="28" t="n">
        <v>299996</v>
      </c>
      <c r="K10" s="28" t="n">
        <v>299996</v>
      </c>
      <c r="L10" s="28" t="n">
        <v>560592</v>
      </c>
      <c r="M10" s="28" t="n">
        <v>582618</v>
      </c>
      <c r="N10" s="28" t="n">
        <v>605510</v>
      </c>
      <c r="O10" s="28" t="n">
        <v>5930419</v>
      </c>
    </row>
    <row r="11" ht="15.75" customHeight="1">
      <c r="A11" s="7" t="n"/>
      <c r="B11" s="7" t="inlineStr">
        <is>
          <t>New MRR (incl. seasonality adjustment):</t>
        </is>
      </c>
      <c r="C11" s="28" t="n">
        <v>376476</v>
      </c>
      <c r="D11" s="28" t="n">
        <v>411862</v>
      </c>
      <c r="E11" s="28" t="n">
        <v>406642</v>
      </c>
      <c r="F11" s="28" t="n">
        <v>378133</v>
      </c>
      <c r="G11" s="28" t="n">
        <v>381431</v>
      </c>
      <c r="H11" s="28" t="n">
        <v>432456</v>
      </c>
      <c r="I11" s="28" t="n">
        <v>300000</v>
      </c>
      <c r="J11" s="28" t="n">
        <v>300000</v>
      </c>
      <c r="K11" s="28" t="n">
        <v>300000</v>
      </c>
      <c r="L11" s="28" t="n">
        <v>532563</v>
      </c>
      <c r="M11" s="28" t="n">
        <v>524357</v>
      </c>
      <c r="N11" s="28" t="n">
        <v>544959</v>
      </c>
      <c r="O11" s="28" t="n">
        <v>5548670</v>
      </c>
      <c r="Q11" s="28" t="n">
        <v>66584046</v>
      </c>
    </row>
    <row r="12" ht="15.75" customHeight="1">
      <c r="A12" s="7" t="n"/>
      <c r="B12" s="26" t="inlineStr">
        <is>
          <t>CVR Sign up To Subscription</t>
        </is>
      </c>
      <c r="C12" s="27" t="n">
        <v>0.08359999999999999</v>
      </c>
      <c r="D12" s="27" t="n">
        <v>0.0885</v>
      </c>
      <c r="E12" s="27" t="n">
        <v>0.08450000000000001</v>
      </c>
      <c r="F12" s="27" t="n">
        <v>0.076</v>
      </c>
      <c r="G12" s="27" t="n">
        <v>0.0742</v>
      </c>
      <c r="H12" s="27" t="n">
        <v>0.0814</v>
      </c>
      <c r="I12" s="27" t="n">
        <v>0.0648</v>
      </c>
      <c r="J12" s="27" t="n">
        <v>0.0648</v>
      </c>
      <c r="K12" s="27" t="n">
        <v>0.0648</v>
      </c>
      <c r="L12" s="27" t="n">
        <v>0.0878</v>
      </c>
      <c r="M12" s="27" t="n">
        <v>0.08359999999999999</v>
      </c>
      <c r="N12" s="27" t="n">
        <v>0.08409999999999999</v>
      </c>
      <c r="O12" s="27" t="n">
        <v>0.08500000000000001</v>
      </c>
    </row>
    <row r="14" ht="15.75" customHeight="1">
      <c r="A14" s="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</row>
    <row r="15" ht="15.75" customHeight="1">
      <c r="A15" s="7" t="n"/>
    </row>
    <row r="16" ht="15.75" customHeight="1">
      <c r="A16" s="7" t="n"/>
    </row>
    <row r="17" ht="15.75" customHeight="1">
      <c r="A17" s="7" t="n"/>
      <c r="O17" s="19" t="n"/>
      <c r="P17" s="7" t="n"/>
    </row>
    <row r="18" ht="15.75" customHeight="1">
      <c r="A18" s="7" t="n"/>
    </row>
    <row r="19" ht="15.75" customHeight="1">
      <c r="A19" s="7" t="n"/>
    </row>
    <row r="20" ht="15.75" customHeight="1">
      <c r="A20" s="7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15.75" customHeight="1">
      <c r="A21" s="7" t="n"/>
      <c r="C21" s="15" t="n"/>
      <c r="D21" s="15" t="n"/>
      <c r="E21" s="15" t="n"/>
      <c r="F21" s="15" t="n"/>
      <c r="G21" s="15" t="n"/>
      <c r="H21" s="15" t="inlineStr">
        <is>
          <t>ss</t>
        </is>
      </c>
      <c r="I21" s="15" t="n"/>
      <c r="J21" s="15" t="n"/>
      <c r="K21" s="15" t="n"/>
      <c r="L21" s="15" t="n"/>
      <c r="M21" s="15" t="n"/>
      <c r="N21" s="15" t="n"/>
    </row>
    <row r="22" ht="15.75" customHeight="1">
      <c r="A22" s="7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 ht="15.75" customHeight="1">
      <c r="A23" s="7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 ht="15.75" customHeight="1">
      <c r="A24" s="7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</row>
    <row r="25" ht="15.75" customHeight="1">
      <c r="A25" s="7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</row>
    <row r="26" ht="15.75" customHeight="1">
      <c r="A26" s="7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 ht="15.75" customHeight="1">
      <c r="A27" s="7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 ht="15.75" customHeight="1">
      <c r="A28" s="7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 ht="15.75" customHeight="1">
      <c r="A29" s="7" t="n"/>
    </row>
    <row r="30" ht="15.75" customHeight="1">
      <c r="A30" s="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</row>
    <row r="31" ht="15.75" customHeight="1">
      <c r="A31" s="7" t="n"/>
    </row>
    <row r="33" ht="15.75" customHeight="1">
      <c r="A33" s="7" t="n"/>
    </row>
    <row r="34" ht="15.75" customHeight="1">
      <c r="A34" s="7" t="n"/>
    </row>
    <row r="35" ht="15.75" customHeight="1">
      <c r="A35" s="7" t="n"/>
    </row>
    <row r="37" ht="15.75" customHeight="1">
      <c r="A37" s="7" t="n"/>
    </row>
    <row r="38" ht="15.75" customHeight="1">
      <c r="A38" s="7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 ht="15.75" customHeight="1">
      <c r="A39" s="7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1" ht="15.75" customHeight="1">
      <c r="A41" s="7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</row>
    <row r="42" ht="15.75" customHeight="1">
      <c r="A42" s="7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</row>
    <row r="44" ht="15.75" customHeight="1">
      <c r="A44" s="7" t="n"/>
      <c r="O44" s="19" t="n"/>
    </row>
    <row r="45" ht="15.75" customHeight="1">
      <c r="A45" s="7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 ht="15.75" customHeight="1">
      <c r="A46" s="7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</row>
    <row r="48" ht="15.75" customHeight="1">
      <c r="A48" s="7" t="n"/>
      <c r="O48" s="19" t="n"/>
    </row>
    <row r="49" ht="15.75" customHeight="1">
      <c r="A49" s="7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</row>
    <row r="50" ht="15.75" customHeight="1">
      <c r="A50" s="7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</row>
    <row r="51" ht="15.75" customHeight="1">
      <c r="A51" s="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</row>
    <row r="53" ht="15.75" customHeight="1">
      <c r="A53" s="7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</row>
    <row r="54" ht="13" customHeight="1">
      <c r="A54" s="7" t="n"/>
    </row>
    <row r="55" ht="13" customHeight="1">
      <c r="A55" s="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</row>
    <row r="56" ht="13" customHeight="1">
      <c r="A56" s="7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</row>
    <row r="57" ht="13" customHeight="1">
      <c r="A57" s="7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</row>
    <row r="59" ht="13" customHeight="1">
      <c r="A59" s="7" t="n"/>
      <c r="O59" s="7" t="inlineStr">
        <is>
          <t>Total 2026</t>
        </is>
      </c>
    </row>
    <row r="60" ht="13" customHeight="1">
      <c r="A60" s="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</row>
    <row r="61" ht="13" customHeight="1">
      <c r="A61" s="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9" t="n">
        <v>1.82</v>
      </c>
    </row>
    <row r="62" ht="13" customHeight="1">
      <c r="A62" s="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9" t="n">
        <v>1.05</v>
      </c>
    </row>
    <row r="63" ht="13" customHeight="1">
      <c r="A63" s="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9" t="n">
        <v>1.09</v>
      </c>
    </row>
    <row r="64" ht="13" customHeight="1">
      <c r="A64" s="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9" t="n">
        <v>1.13</v>
      </c>
    </row>
    <row r="65" ht="13" customHeight="1">
      <c r="A65" s="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</row>
    <row r="66" ht="13" customHeight="1">
      <c r="A66" s="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9" t="n">
        <v>1.05</v>
      </c>
    </row>
    <row r="67" ht="13" customHeight="1">
      <c r="A67" s="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9" t="n">
        <v>1.43</v>
      </c>
    </row>
    <row r="68" ht="13" customHeight="1">
      <c r="A68" s="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9" t="n">
        <v>1.13</v>
      </c>
    </row>
    <row r="69" ht="13" customHeight="1">
      <c r="A69" s="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9" t="n">
        <v>1.06</v>
      </c>
    </row>
    <row r="70" ht="13" customHeight="1">
      <c r="A70" s="7" t="n"/>
    </row>
    <row r="71" ht="13" customHeight="1">
      <c r="A71" s="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9" t="n">
        <v>1.03</v>
      </c>
    </row>
    <row r="72" ht="13" customHeight="1">
      <c r="A72" s="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9" t="n">
        <v>1.06</v>
      </c>
    </row>
    <row r="73" ht="13" customHeight="1">
      <c r="A73" s="7" t="n"/>
    </row>
    <row r="77" ht="13" customHeight="1">
      <c r="A77" s="7" t="n"/>
      <c r="O77" s="7" t="inlineStr">
        <is>
          <t>Total 2026</t>
        </is>
      </c>
      <c r="P77" s="7" t="inlineStr">
        <is>
          <t>Total net new MRR by end of 2026</t>
        </is>
      </c>
      <c r="Q77" s="7" t="inlineStr">
        <is>
          <t>Total net new MRR by end of 2025</t>
        </is>
      </c>
      <c r="T77" s="7" t="inlineStr">
        <is>
          <t>Plans</t>
        </is>
      </c>
      <c r="U77" s="7" t="inlineStr">
        <is>
          <t>EOY '25</t>
        </is>
      </c>
      <c r="V77" s="7" t="inlineStr">
        <is>
          <t>EOY '26</t>
        </is>
      </c>
      <c r="W77" s="7" t="inlineStr">
        <is>
          <t>Net new MRR contribution</t>
        </is>
      </c>
    </row>
    <row r="78" ht="13" customHeight="1">
      <c r="A78" s="7" t="n"/>
      <c r="T78" s="7" t="inlineStr">
        <is>
          <t>Standard</t>
        </is>
      </c>
      <c r="U78" s="28" t="n">
        <v>3250000</v>
      </c>
      <c r="V78" s="28" t="n">
        <v>1000000</v>
      </c>
      <c r="W78" s="28" t="n">
        <v>-2250000</v>
      </c>
    </row>
    <row r="79" ht="13" customHeight="1">
      <c r="A79" s="7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>
        <v>0.95</v>
      </c>
      <c r="T79" s="7" t="inlineStr">
        <is>
          <t>Pro</t>
        </is>
      </c>
      <c r="U79" s="28" t="n">
        <v>40500000</v>
      </c>
      <c r="V79" s="28" t="n">
        <v>66000000</v>
      </c>
      <c r="W79" s="28" t="n">
        <v>25500000</v>
      </c>
    </row>
    <row r="80" ht="13" customHeight="1">
      <c r="A80" s="7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>
        <v>0.05</v>
      </c>
      <c r="T80" s="7" t="inlineStr">
        <is>
          <t>Live</t>
        </is>
      </c>
      <c r="U80" s="28" t="n">
        <v>4800000</v>
      </c>
      <c r="V80" s="28" t="n">
        <v>10000000</v>
      </c>
      <c r="W80" s="28" t="n">
        <v>5200000</v>
      </c>
    </row>
    <row r="81" ht="13" customHeight="1">
      <c r="A81" s="7" t="n"/>
      <c r="T81" s="7" t="inlineStr">
        <is>
          <t>Webinars</t>
        </is>
      </c>
      <c r="U81" s="28" t="n">
        <v>800000</v>
      </c>
      <c r="V81" s="28" t="n">
        <v>10000000</v>
      </c>
      <c r="W81" s="28" t="n">
        <v>9200000</v>
      </c>
    </row>
    <row r="82" ht="13" customHeight="1">
      <c r="A82" s="7" t="n"/>
      <c r="O82" s="7" t="n">
        <v>0</v>
      </c>
      <c r="T82" s="7" t="inlineStr">
        <is>
          <t>Mobile</t>
        </is>
      </c>
      <c r="U82" s="28" t="n">
        <v>900000</v>
      </c>
      <c r="V82" s="28" t="n">
        <v>2000000</v>
      </c>
      <c r="W82" s="28" t="n">
        <v>1100000</v>
      </c>
    </row>
    <row r="83" ht="13" customHeight="1">
      <c r="A83" s="7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U83" s="28" t="n">
        <v>50250000</v>
      </c>
      <c r="V83" s="28" t="n">
        <v>89000000</v>
      </c>
      <c r="W83" s="28" t="n">
        <v>38750000</v>
      </c>
    </row>
    <row r="84" ht="13" customHeight="1">
      <c r="A84" s="7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>
        <v>0</v>
      </c>
    </row>
    <row r="85" ht="13" customHeight="1">
      <c r="A85" s="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>
        <v>0</v>
      </c>
      <c r="P85" s="27" t="n">
        <v>0.6972</v>
      </c>
    </row>
    <row r="86" ht="13" customHeight="1">
      <c r="A86" s="7" t="n"/>
      <c r="O86" s="7" t="n">
        <v>12946</v>
      </c>
    </row>
    <row r="87" ht="13" customHeight="1">
      <c r="A87" s="7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</row>
    <row r="88" ht="13" customHeight="1">
      <c r="A88" s="7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>
        <v>485473.32</v>
      </c>
      <c r="P88" s="15" t="n">
        <v>5825679.86</v>
      </c>
    </row>
    <row r="89" ht="13" customHeight="1">
      <c r="A89" s="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>
        <v>0.0936</v>
      </c>
    </row>
    <row r="90" ht="13" customHeight="1">
      <c r="A90" s="7" t="n"/>
      <c r="O90" s="7" t="n">
        <v>9691</v>
      </c>
    </row>
    <row r="91" ht="13" customHeight="1">
      <c r="A91" s="7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3" customHeight="1">
      <c r="A92" s="7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>
        <v>901229.1</v>
      </c>
      <c r="P92" s="15" t="n">
        <v>10814749.17</v>
      </c>
    </row>
    <row r="93" ht="13" customHeight="1">
      <c r="A93" s="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>
        <v>0.1737</v>
      </c>
    </row>
    <row r="94" ht="13" customHeight="1">
      <c r="A94" s="7" t="n"/>
    </row>
    <row r="95" ht="13" customHeight="1">
      <c r="A95" s="7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>
        <v>8.630000000000001</v>
      </c>
    </row>
    <row r="96" ht="13" customHeight="1">
      <c r="A96" s="7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>
        <v>184411</v>
      </c>
    </row>
    <row r="97" ht="13" customHeight="1">
      <c r="A97" s="7" t="n"/>
      <c r="C97" s="29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>
        <v>0.0355</v>
      </c>
    </row>
    <row r="98" ht="13" customHeight="1">
      <c r="A98" s="7" t="n"/>
    </row>
    <row r="100" ht="13" customHeight="1">
      <c r="A100" s="7" t="n"/>
      <c r="B100" s="7" t="inlineStr">
        <is>
          <t>Entry points:</t>
        </is>
      </c>
    </row>
    <row r="101" ht="13" customHeight="1">
      <c r="A101" s="7" t="n"/>
      <c r="B101" s="7" t="inlineStr">
        <is>
          <t>Podcast hosting</t>
        </is>
      </c>
    </row>
    <row r="102" ht="13" customHeight="1">
      <c r="A102" s="7" t="n"/>
      <c r="B102" s="7" t="inlineStr">
        <is>
          <t>Editing</t>
        </is>
      </c>
    </row>
    <row r="103" ht="13" customHeight="1">
      <c r="A103" s="7" t="n"/>
      <c r="B103" s="7" t="inlineStr">
        <is>
          <t>Recording</t>
        </is>
      </c>
    </row>
    <row r="104" ht="13" customHeight="1">
      <c r="A104" s="7" t="n"/>
      <c r="B104" s="7" t="inlineStr">
        <is>
          <t>Live streaming</t>
        </is>
      </c>
    </row>
    <row r="105" ht="13" customHeight="1">
      <c r="A105" s="7" t="n"/>
      <c r="B105" s="7" t="inlineStr">
        <is>
          <t>Webinars</t>
        </is>
      </c>
    </row>
    <row r="107" ht="13" customHeight="1">
      <c r="A107" s="7" t="n"/>
      <c r="B107" s="7" t="inlineStr">
        <is>
          <t>GEO</t>
        </is>
      </c>
    </row>
    <row r="108" ht="13" customHeight="1">
      <c r="A108" s="7" t="n"/>
      <c r="B108" s="7" t="inlineStr">
        <is>
          <t>US</t>
        </is>
      </c>
    </row>
    <row r="109" ht="13" customHeight="1">
      <c r="A109" s="7" t="n"/>
      <c r="B109" s="7" t="inlineStr">
        <is>
          <t>UK</t>
        </is>
      </c>
    </row>
    <row r="110" ht="13" customHeight="1">
      <c r="A110" s="7" t="n"/>
      <c r="B110" s="7" t="inlineStr">
        <is>
          <t>AUS</t>
        </is>
      </c>
    </row>
    <row r="111" ht="13" customHeight="1">
      <c r="A111" s="7" t="n"/>
      <c r="B111" s="7" t="inlineStr">
        <is>
          <t>CAN</t>
        </is>
      </c>
    </row>
    <row r="112" ht="13" customHeight="1">
      <c r="A112" s="7" t="n"/>
      <c r="B112" s="7" t="inlineStr">
        <is>
          <t>Germany</t>
        </is>
      </c>
    </row>
    <row r="113" ht="13" customHeight="1">
      <c r="A113" s="7" t="n"/>
      <c r="B113" s="7" t="inlineStr">
        <is>
          <t>French</t>
        </is>
      </c>
    </row>
    <row r="115" ht="13" customHeight="1">
      <c r="A115" s="7" t="n"/>
      <c r="B115" s="7" t="inlineStr">
        <is>
          <t>Qualified sign ups</t>
        </is>
      </c>
    </row>
    <row r="118" ht="13" customHeight="1">
      <c r="A118" s="7" t="n"/>
      <c r="B118" s="7" t="inlineStr">
        <is>
          <t>Device split by funnel stage</t>
        </is>
      </c>
    </row>
    <row r="119" ht="13" customHeight="1">
      <c r="A119" s="7" t="n"/>
      <c r="B119" s="7" t="inlineStr">
        <is>
          <t>Signups</t>
        </is>
      </c>
      <c r="C119" s="27" t="n">
        <v>1</v>
      </c>
      <c r="D119" s="27" t="n">
        <v>1</v>
      </c>
      <c r="E119" s="27" t="n">
        <v>1</v>
      </c>
      <c r="F119" s="27" t="n">
        <v>1</v>
      </c>
      <c r="G119" s="27" t="n">
        <v>1</v>
      </c>
      <c r="H119" s="27" t="n">
        <v>1</v>
      </c>
      <c r="I119" s="27" t="n">
        <v>1</v>
      </c>
      <c r="J119" s="27" t="n">
        <v>1</v>
      </c>
      <c r="K119" s="27" t="n">
        <v>1</v>
      </c>
      <c r="L119" s="27" t="n">
        <v>1</v>
      </c>
      <c r="M119" s="27" t="n">
        <v>1</v>
      </c>
      <c r="N119" s="27" t="n">
        <v>1</v>
      </c>
      <c r="O119" s="27" t="n">
        <v>1</v>
      </c>
    </row>
    <row r="120" ht="13" customHeight="1">
      <c r="A120" s="7" t="n"/>
      <c r="B120" s="7" t="inlineStr">
        <is>
          <t>Desktop</t>
        </is>
      </c>
      <c r="C120" s="27" t="n">
        <v>0.64</v>
      </c>
      <c r="D120" s="27" t="n">
        <v>0.64</v>
      </c>
      <c r="E120" s="27" t="n">
        <v>0.64</v>
      </c>
      <c r="F120" s="27" t="n">
        <v>0.64</v>
      </c>
      <c r="G120" s="27" t="n">
        <v>0.64</v>
      </c>
      <c r="H120" s="27" t="n">
        <v>0.64</v>
      </c>
      <c r="I120" s="27" t="n">
        <v>0.64</v>
      </c>
      <c r="J120" s="27" t="n">
        <v>0.64</v>
      </c>
      <c r="K120" s="27" t="n">
        <v>0.64</v>
      </c>
      <c r="L120" s="27" t="n">
        <v>0.64</v>
      </c>
      <c r="M120" s="27" t="n">
        <v>0.64</v>
      </c>
      <c r="N120" s="27" t="n">
        <v>0.64</v>
      </c>
      <c r="O120" s="27" t="n">
        <v>0.64</v>
      </c>
    </row>
    <row r="121" ht="13" customHeight="1">
      <c r="A121" s="7" t="n"/>
      <c r="B121" s="7" t="inlineStr">
        <is>
          <t>Mobile web</t>
        </is>
      </c>
      <c r="C121" s="27" t="n">
        <v>0.18</v>
      </c>
      <c r="D121" s="27" t="n">
        <v>0.18</v>
      </c>
      <c r="E121" s="27" t="n">
        <v>0.18</v>
      </c>
      <c r="F121" s="27" t="n">
        <v>0.18</v>
      </c>
      <c r="G121" s="27" t="n">
        <v>0.18</v>
      </c>
      <c r="H121" s="27" t="n">
        <v>0.18</v>
      </c>
      <c r="I121" s="27" t="n">
        <v>0.18</v>
      </c>
      <c r="J121" s="27" t="n">
        <v>0.18</v>
      </c>
      <c r="K121" s="27" t="n">
        <v>0.18</v>
      </c>
      <c r="L121" s="27" t="n">
        <v>0.18</v>
      </c>
      <c r="M121" s="27" t="n">
        <v>0.18</v>
      </c>
      <c r="N121" s="27" t="n">
        <v>0.18</v>
      </c>
      <c r="O121" s="27" t="n">
        <v>0.15</v>
      </c>
    </row>
    <row r="122" ht="13" customHeight="1">
      <c r="A122" s="7" t="n"/>
      <c r="B122" s="7" t="inlineStr">
        <is>
          <t>Mobile app</t>
        </is>
      </c>
      <c r="C122" s="27" t="n">
        <v>0.18</v>
      </c>
      <c r="D122" s="27" t="n">
        <v>0.18</v>
      </c>
      <c r="E122" s="27" t="n">
        <v>0.18</v>
      </c>
      <c r="F122" s="27" t="n">
        <v>0.18</v>
      </c>
      <c r="G122" s="27" t="n">
        <v>0.18</v>
      </c>
      <c r="H122" s="27" t="n">
        <v>0.18</v>
      </c>
      <c r="I122" s="27" t="n">
        <v>0.18</v>
      </c>
      <c r="J122" s="27" t="n">
        <v>0.18</v>
      </c>
      <c r="K122" s="27" t="n">
        <v>0.18</v>
      </c>
      <c r="L122" s="27" t="n">
        <v>0.18</v>
      </c>
      <c r="M122" s="27" t="n">
        <v>0.18</v>
      </c>
      <c r="N122" s="27" t="n">
        <v>0.18</v>
      </c>
      <c r="O122" s="27" t="n">
        <v>0.21</v>
      </c>
    </row>
    <row r="127" ht="13" customHeight="1">
      <c r="A127" s="7" t="n"/>
      <c r="B127" s="7" t="inlineStr">
        <is>
          <t>New MRR</t>
        </is>
      </c>
      <c r="C127" s="29" t="n">
        <v>1</v>
      </c>
      <c r="D127" s="29" t="n">
        <v>1</v>
      </c>
      <c r="E127" s="29" t="n">
        <v>1</v>
      </c>
      <c r="F127" s="29" t="n">
        <v>1</v>
      </c>
      <c r="G127" s="29" t="n">
        <v>1</v>
      </c>
      <c r="H127" s="29" t="n">
        <v>1</v>
      </c>
      <c r="I127" s="29" t="n">
        <v>1</v>
      </c>
      <c r="J127" s="29" t="n">
        <v>1</v>
      </c>
      <c r="K127" s="29" t="n">
        <v>1</v>
      </c>
      <c r="L127" s="29" t="n">
        <v>1</v>
      </c>
      <c r="M127" s="29" t="n">
        <v>1</v>
      </c>
      <c r="N127" s="29" t="n">
        <v>1</v>
      </c>
      <c r="O127" s="29" t="n">
        <v>1</v>
      </c>
    </row>
    <row r="128" ht="13" customHeight="1">
      <c r="A128" s="7" t="n"/>
      <c r="B128" s="7" t="inlineStr">
        <is>
          <t>Web</t>
        </is>
      </c>
      <c r="C128" s="29" t="n">
        <v>0.96</v>
      </c>
      <c r="D128" s="29" t="n">
        <v>0.96</v>
      </c>
      <c r="E128" s="29" t="n">
        <v>0.96</v>
      </c>
      <c r="F128" s="29" t="n">
        <v>0.96</v>
      </c>
      <c r="G128" s="29" t="n">
        <v>0.96</v>
      </c>
      <c r="H128" s="29" t="n">
        <v>0.96</v>
      </c>
      <c r="I128" s="29" t="n">
        <v>0.96</v>
      </c>
      <c r="J128" s="29" t="n">
        <v>0.96</v>
      </c>
      <c r="K128" s="29" t="n">
        <v>0.96</v>
      </c>
      <c r="L128" s="29" t="n">
        <v>0.96</v>
      </c>
      <c r="M128" s="29" t="n">
        <v>0.96</v>
      </c>
      <c r="N128" s="29" t="n">
        <v>0.96</v>
      </c>
      <c r="O128" s="29" t="n">
        <v>0.95</v>
      </c>
    </row>
    <row r="129" ht="13" customHeight="1">
      <c r="A129" s="7" t="n"/>
      <c r="B129" s="7" t="inlineStr">
        <is>
          <t>App</t>
        </is>
      </c>
      <c r="C129" s="29" t="n">
        <v>0.04</v>
      </c>
      <c r="D129" s="29" t="n">
        <v>0.04</v>
      </c>
      <c r="E129" s="29" t="n">
        <v>0.04</v>
      </c>
      <c r="F129" s="29" t="n">
        <v>0.04</v>
      </c>
      <c r="G129" s="29" t="n">
        <v>0.04</v>
      </c>
      <c r="H129" s="29" t="n">
        <v>0.04</v>
      </c>
      <c r="I129" s="29" t="n">
        <v>0.04</v>
      </c>
      <c r="J129" s="29" t="n">
        <v>0.04</v>
      </c>
      <c r="K129" s="29" t="n">
        <v>0.04</v>
      </c>
      <c r="L129" s="29" t="n">
        <v>0.04</v>
      </c>
      <c r="M129" s="29" t="n">
        <v>0.04</v>
      </c>
      <c r="N129" s="29" t="n">
        <v>0.04</v>
      </c>
      <c r="O129" s="29" t="n">
        <v>0.05</v>
      </c>
    </row>
    <row r="134" ht="13" customHeight="1">
      <c r="A134" s="7" t="n"/>
      <c r="B134" s="7" t="inlineStr">
        <is>
          <t>Trial Ratios</t>
        </is>
      </c>
    </row>
    <row r="135" ht="13" customHeight="1">
      <c r="A135" s="7" t="n"/>
      <c r="B135" s="7" t="inlineStr">
        <is>
          <t>Web plan trials</t>
        </is>
      </c>
      <c r="C135" s="27" t="n">
        <v>1</v>
      </c>
      <c r="D135" s="27" t="n">
        <v>1</v>
      </c>
      <c r="E135" s="27" t="n">
        <v>1</v>
      </c>
      <c r="F135" s="27" t="n">
        <v>1</v>
      </c>
      <c r="G135" s="27" t="n">
        <v>1</v>
      </c>
      <c r="H135" s="27" t="n">
        <v>1</v>
      </c>
      <c r="I135" s="27" t="n">
        <v>1</v>
      </c>
    </row>
    <row r="136" ht="13" customHeight="1">
      <c r="A136" s="7" t="n"/>
      <c r="B136" s="7" t="inlineStr">
        <is>
          <t>Desktop &gt; Web plan</t>
        </is>
      </c>
      <c r="C136" s="27" t="n">
        <v>0.903</v>
      </c>
      <c r="D136" s="27" t="n">
        <v>0.903</v>
      </c>
      <c r="E136" s="27" t="n">
        <v>0.902</v>
      </c>
      <c r="F136" s="27" t="n">
        <v>0.901</v>
      </c>
      <c r="G136" s="27" t="n">
        <v>0.901</v>
      </c>
      <c r="H136" s="27" t="n">
        <v>0.901</v>
      </c>
      <c r="I136" s="27" t="n">
        <v>0.9</v>
      </c>
    </row>
    <row r="137" ht="13" customHeight="1">
      <c r="A137" s="7" t="n"/>
      <c r="B137" s="7" t="inlineStr">
        <is>
          <t>Mobile-web &gt; Web plan</t>
        </is>
      </c>
      <c r="C137" s="27" t="n">
        <v>0.066</v>
      </c>
      <c r="D137" s="27" t="n">
        <v>0.064</v>
      </c>
      <c r="E137" s="27" t="n">
        <v>0.063</v>
      </c>
      <c r="F137" s="27" t="n">
        <v>0.063</v>
      </c>
      <c r="G137" s="27" t="n">
        <v>0.062</v>
      </c>
      <c r="H137" s="27" t="n">
        <v>0.061</v>
      </c>
      <c r="I137" s="27" t="n">
        <v>0.061</v>
      </c>
    </row>
    <row r="138" ht="13" customHeight="1">
      <c r="A138" s="7" t="n"/>
      <c r="B138" s="7" t="inlineStr">
        <is>
          <t>Mobile-app &gt; Web plan</t>
        </is>
      </c>
      <c r="C138" s="27" t="n">
        <v>0.031</v>
      </c>
      <c r="D138" s="27" t="n">
        <v>0.033</v>
      </c>
      <c r="E138" s="27" t="n">
        <v>0.035</v>
      </c>
      <c r="F138" s="27" t="n">
        <v>0.036</v>
      </c>
      <c r="G138" s="27" t="n">
        <v>0.037</v>
      </c>
      <c r="H138" s="27" t="n">
        <v>0.037</v>
      </c>
      <c r="I138" s="27" t="n">
        <v>0.039</v>
      </c>
    </row>
    <row r="139" ht="13" customHeight="1">
      <c r="A139" s="7" t="n"/>
      <c r="B139" s="7" t="inlineStr">
        <is>
          <t>Mobile app trials</t>
        </is>
      </c>
      <c r="C139" s="27" t="n">
        <v>1</v>
      </c>
      <c r="D139" s="27" t="n">
        <v>1</v>
      </c>
      <c r="E139" s="27" t="n">
        <v>1</v>
      </c>
      <c r="F139" s="27" t="n">
        <v>1</v>
      </c>
      <c r="G139" s="27" t="n">
        <v>1</v>
      </c>
      <c r="H139" s="27" t="n">
        <v>1</v>
      </c>
      <c r="I139" s="27" t="n">
        <v>1</v>
      </c>
      <c r="J139" s="27" t="n">
        <v>1</v>
      </c>
      <c r="K139" s="27" t="n">
        <v>1</v>
      </c>
      <c r="L139" s="27" t="n">
        <v>1</v>
      </c>
      <c r="M139" s="27" t="n">
        <v>1</v>
      </c>
      <c r="N139" s="27" t="n">
        <v>1</v>
      </c>
    </row>
    <row r="140" ht="13" customHeight="1">
      <c r="A140" s="7" t="n"/>
      <c r="B140" s="7" t="inlineStr">
        <is>
          <t>Desktop &gt; Mobile app</t>
        </is>
      </c>
      <c r="C140" s="27" t="n">
        <v>0.196</v>
      </c>
      <c r="D140" s="27" t="n">
        <v>0.208</v>
      </c>
      <c r="E140" s="27" t="n">
        <v>0.22</v>
      </c>
      <c r="F140" s="27" t="n">
        <v>0.233</v>
      </c>
      <c r="G140" s="27" t="n">
        <v>0.244</v>
      </c>
      <c r="H140" s="27" t="n">
        <v>0.255</v>
      </c>
      <c r="I140" s="27" t="n">
        <v>0.263</v>
      </c>
      <c r="J140" s="27" t="n">
        <v>0.263</v>
      </c>
      <c r="K140" s="27" t="n">
        <v>0.262</v>
      </c>
      <c r="L140" s="27" t="n">
        <v>0.262</v>
      </c>
      <c r="M140" s="27" t="n">
        <v>0.263</v>
      </c>
      <c r="N140" s="27" t="n">
        <v>0.263</v>
      </c>
    </row>
    <row r="141" ht="13" customHeight="1">
      <c r="A141" s="7" t="n"/>
      <c r="B141" s="7" t="inlineStr">
        <is>
          <t>Mobile-web &gt; Mobile app</t>
        </is>
      </c>
      <c r="C141" s="27" t="n">
        <v>0.13</v>
      </c>
      <c r="D141" s="27" t="n">
        <v>0.121</v>
      </c>
      <c r="E141" s="27" t="n">
        <v>0.114</v>
      </c>
      <c r="F141" s="27" t="n">
        <v>0.106</v>
      </c>
      <c r="G141" s="27" t="n">
        <v>0.103</v>
      </c>
      <c r="H141" s="27" t="n">
        <v>0.101</v>
      </c>
      <c r="I141" s="27" t="n">
        <v>0.098</v>
      </c>
      <c r="J141" s="27" t="n">
        <v>0.098</v>
      </c>
      <c r="K141" s="27" t="n">
        <v>0.098</v>
      </c>
      <c r="L141" s="27" t="n">
        <v>0.098</v>
      </c>
      <c r="M141" s="27" t="n">
        <v>0.098</v>
      </c>
      <c r="N141" s="27" t="n">
        <v>0.098</v>
      </c>
    </row>
    <row r="142" ht="13" customHeight="1">
      <c r="A142" s="7" t="n"/>
      <c r="B142" s="7" t="inlineStr">
        <is>
          <t>Mobile-app &gt; Mobile app</t>
        </is>
      </c>
      <c r="C142" s="27" t="n">
        <v>0.674</v>
      </c>
      <c r="D142" s="27" t="n">
        <v>0.671</v>
      </c>
      <c r="E142" s="27" t="n">
        <v>0.667</v>
      </c>
      <c r="F142" s="27" t="n">
        <v>0.661</v>
      </c>
      <c r="G142" s="27" t="n">
        <v>0.653</v>
      </c>
      <c r="H142" s="27" t="n">
        <v>0.644</v>
      </c>
      <c r="I142" s="27" t="n">
        <v>0.638</v>
      </c>
      <c r="J142" s="27" t="n">
        <v>0.639</v>
      </c>
      <c r="K142" s="27" t="n">
        <v>0.64</v>
      </c>
      <c r="L142" s="27" t="n">
        <v>0.64</v>
      </c>
      <c r="M142" s="27" t="n">
        <v>0.64</v>
      </c>
      <c r="N142" s="27" t="n">
        <v>0.64</v>
      </c>
    </row>
    <row r="144" ht="13" customHeight="1">
      <c r="A144" s="7" t="n"/>
      <c r="B144" s="7" t="inlineStr">
        <is>
          <t>New customers ratios</t>
        </is>
      </c>
    </row>
    <row r="145" ht="13" customHeight="1">
      <c r="A145" s="7" t="n"/>
      <c r="B145" s="7" t="inlineStr">
        <is>
          <t>Web plan</t>
        </is>
      </c>
      <c r="C145" s="27" t="n">
        <v>1</v>
      </c>
      <c r="D145" s="27" t="n">
        <v>1</v>
      </c>
      <c r="E145" s="27" t="n">
        <v>1</v>
      </c>
      <c r="F145" s="27" t="n">
        <v>1</v>
      </c>
      <c r="G145" s="27" t="n">
        <v>1</v>
      </c>
      <c r="H145" s="27" t="n">
        <v>1</v>
      </c>
      <c r="I145" s="27" t="n">
        <v>1</v>
      </c>
      <c r="J145" s="27" t="n">
        <v>1</v>
      </c>
      <c r="K145" s="27" t="n">
        <v>1</v>
      </c>
      <c r="L145" s="27" t="n">
        <v>1</v>
      </c>
      <c r="M145" s="27" t="n">
        <v>1</v>
      </c>
      <c r="N145" s="27" t="n">
        <v>1</v>
      </c>
    </row>
    <row r="146" ht="13" customHeight="1">
      <c r="A146" s="7" t="n"/>
      <c r="B146" s="7" t="inlineStr">
        <is>
          <t>Desktop &gt; Web plan</t>
        </is>
      </c>
      <c r="C146" s="27" t="n">
        <v>0.904</v>
      </c>
      <c r="D146" s="27" t="n">
        <v>0.902</v>
      </c>
      <c r="E146" s="27" t="n">
        <v>0.9</v>
      </c>
      <c r="F146" s="27" t="n">
        <v>0.899</v>
      </c>
      <c r="G146" s="27" t="n">
        <v>0.898</v>
      </c>
      <c r="H146" s="27" t="n">
        <v>0.899</v>
      </c>
      <c r="I146" s="27" t="n">
        <v>0.9</v>
      </c>
      <c r="J146" s="27" t="n">
        <v>0.9</v>
      </c>
      <c r="K146" s="27" t="n">
        <v>0.899</v>
      </c>
      <c r="L146" s="27" t="n">
        <v>0.899</v>
      </c>
      <c r="M146" s="27" t="n">
        <v>0.899</v>
      </c>
      <c r="N146" s="27" t="n">
        <v>0.9</v>
      </c>
    </row>
    <row r="147" ht="13" customHeight="1">
      <c r="A147" s="7" t="n"/>
      <c r="B147" s="7" t="inlineStr">
        <is>
          <t>Mobile-web &gt; Web plan</t>
        </is>
      </c>
      <c r="C147" s="27" t="n">
        <v>0.059</v>
      </c>
      <c r="D147" s="27" t="n">
        <v>0.06</v>
      </c>
      <c r="E147" s="27" t="n">
        <v>0.06</v>
      </c>
      <c r="F147" s="27" t="n">
        <v>0.062</v>
      </c>
      <c r="G147" s="27" t="n">
        <v>0.062</v>
      </c>
      <c r="H147" s="27" t="n">
        <v>0.061</v>
      </c>
      <c r="I147" s="27" t="n">
        <v>0.061</v>
      </c>
      <c r="J147" s="27" t="n">
        <v>0.061</v>
      </c>
      <c r="K147" s="27" t="n">
        <v>0.061</v>
      </c>
      <c r="L147" s="27" t="n">
        <v>0.061</v>
      </c>
      <c r="M147" s="27" t="n">
        <v>0.061</v>
      </c>
      <c r="N147" s="27" t="n">
        <v>0.061</v>
      </c>
    </row>
    <row r="148" ht="13" customHeight="1">
      <c r="A148" s="7" t="n"/>
      <c r="B148" s="7" t="inlineStr">
        <is>
          <t>Mobile-app &gt; Web plan</t>
        </is>
      </c>
      <c r="C148" s="27" t="n">
        <v>0.038</v>
      </c>
      <c r="D148" s="27" t="n">
        <v>0.038</v>
      </c>
      <c r="E148" s="27" t="n">
        <v>0.039</v>
      </c>
      <c r="F148" s="27" t="n">
        <v>0.04</v>
      </c>
      <c r="G148" s="27" t="n">
        <v>0.04</v>
      </c>
      <c r="H148" s="27" t="n">
        <v>0.04</v>
      </c>
      <c r="I148" s="27" t="n">
        <v>0.039</v>
      </c>
      <c r="J148" s="27" t="n">
        <v>0.039</v>
      </c>
      <c r="K148" s="27" t="n">
        <v>0.04</v>
      </c>
      <c r="L148" s="27" t="n">
        <v>0.04</v>
      </c>
      <c r="M148" s="27" t="n">
        <v>0.04</v>
      </c>
      <c r="N148" s="27" t="n">
        <v>0.04</v>
      </c>
    </row>
    <row r="149" ht="13" customHeight="1">
      <c r="A149" s="7" t="n"/>
      <c r="B149" s="7" t="inlineStr">
        <is>
          <t>Mobile app</t>
        </is>
      </c>
      <c r="C149" s="27" t="n">
        <v>1</v>
      </c>
      <c r="D149" s="27" t="n">
        <v>1</v>
      </c>
      <c r="E149" s="27" t="n">
        <v>1</v>
      </c>
      <c r="F149" s="27" t="n">
        <v>1</v>
      </c>
      <c r="G149" s="27" t="n">
        <v>1</v>
      </c>
      <c r="H149" s="27" t="n">
        <v>1</v>
      </c>
      <c r="I149" s="27" t="n">
        <v>1</v>
      </c>
      <c r="J149" s="27" t="n">
        <v>1</v>
      </c>
      <c r="K149" s="27" t="n">
        <v>1</v>
      </c>
      <c r="L149" s="27" t="n">
        <v>1</v>
      </c>
      <c r="M149" s="27" t="n">
        <v>1</v>
      </c>
      <c r="N149" s="27" t="n">
        <v>1</v>
      </c>
    </row>
    <row r="150" ht="13" customHeight="1">
      <c r="A150" s="7" t="n"/>
      <c r="B150" s="7" t="inlineStr">
        <is>
          <t>Desktop &gt; Mobile app</t>
        </is>
      </c>
      <c r="C150" s="27" t="n">
        <v>0.268</v>
      </c>
      <c r="D150" s="27" t="n">
        <v>0.264</v>
      </c>
      <c r="E150" s="27" t="n">
        <v>0.262</v>
      </c>
      <c r="F150" s="27" t="n">
        <v>0.26</v>
      </c>
      <c r="G150" s="27" t="n">
        <v>0.262</v>
      </c>
      <c r="H150" s="27" t="n">
        <v>0.263</v>
      </c>
      <c r="I150" s="27" t="n">
        <v>0.263</v>
      </c>
      <c r="J150" s="27" t="n">
        <v>0.263</v>
      </c>
      <c r="K150" s="27" t="n">
        <v>0.262</v>
      </c>
      <c r="L150" s="27" t="n">
        <v>0.262</v>
      </c>
      <c r="M150" s="27" t="n">
        <v>0.263</v>
      </c>
      <c r="N150" s="27" t="n">
        <v>0.263</v>
      </c>
    </row>
    <row r="151" ht="13" customHeight="1">
      <c r="A151" s="7" t="n"/>
      <c r="B151" s="7" t="inlineStr">
        <is>
          <t>Mobile-web &gt; Mobile app</t>
        </is>
      </c>
      <c r="C151" s="27" t="n">
        <v>0.099</v>
      </c>
      <c r="D151" s="27" t="n">
        <v>0.099</v>
      </c>
      <c r="E151" s="27" t="n">
        <v>0.1</v>
      </c>
      <c r="F151" s="27" t="n">
        <v>0.098</v>
      </c>
      <c r="G151" s="27" t="n">
        <v>0.096</v>
      </c>
      <c r="H151" s="27" t="n">
        <v>0.097</v>
      </c>
      <c r="I151" s="27" t="n">
        <v>0.098</v>
      </c>
      <c r="J151" s="27" t="n">
        <v>0.098</v>
      </c>
      <c r="K151" s="27" t="n">
        <v>0.098</v>
      </c>
      <c r="L151" s="27" t="n">
        <v>0.098</v>
      </c>
      <c r="M151" s="27" t="n">
        <v>0.098</v>
      </c>
      <c r="N151" s="27" t="n">
        <v>0.098</v>
      </c>
    </row>
    <row r="152" ht="13" customHeight="1">
      <c r="A152" s="7" t="n"/>
      <c r="B152" s="7" t="inlineStr">
        <is>
          <t>Mobile-app &gt; Mobile app</t>
        </is>
      </c>
      <c r="C152" s="27" t="n">
        <v>0.634</v>
      </c>
      <c r="D152" s="27" t="n">
        <v>0.637</v>
      </c>
      <c r="E152" s="27" t="n">
        <v>0.638</v>
      </c>
      <c r="F152" s="27" t="n">
        <v>0.642</v>
      </c>
      <c r="G152" s="27" t="n">
        <v>0.641</v>
      </c>
      <c r="H152" s="27" t="n">
        <v>0.641</v>
      </c>
      <c r="I152" s="27" t="n">
        <v>0.639</v>
      </c>
      <c r="J152" s="27" t="n">
        <v>0.639</v>
      </c>
      <c r="K152" s="27" t="n">
        <v>0.64</v>
      </c>
      <c r="L152" s="27" t="n">
        <v>0.64</v>
      </c>
      <c r="M152" s="27" t="n">
        <v>0.64</v>
      </c>
      <c r="N152" s="27" t="n">
        <v>0.64</v>
      </c>
    </row>
  </sheetData>
  <autoFilter ref="B2:O1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topLeftCell="A32" workbookViewId="0">
      <selection activeCell="H51" sqref="H51"/>
    </sheetView>
  </sheetViews>
  <sheetFormatPr baseColWidth="10" defaultRowHeight="13"/>
  <sheetData>
    <row r="1">
      <c r="A1" s="31" t="n"/>
      <c r="B1" s="31" t="inlineStr">
        <is>
          <t>Q1-2026</t>
        </is>
      </c>
      <c r="C1" s="31" t="inlineStr">
        <is>
          <t>Q2-2026</t>
        </is>
      </c>
      <c r="D1" s="31" t="inlineStr">
        <is>
          <t>Q3-2026</t>
        </is>
      </c>
      <c r="E1" s="31" t="inlineStr">
        <is>
          <t>Q4-2026</t>
        </is>
      </c>
      <c r="F1" s="31" t="inlineStr">
        <is>
          <t>2026 Total</t>
        </is>
      </c>
      <c r="G1" s="31" t="inlineStr">
        <is>
          <t>YoY</t>
        </is>
      </c>
    </row>
    <row r="2">
      <c r="A2" s="32" t="inlineStr">
        <is>
          <t>MQL</t>
        </is>
      </c>
      <c r="B2" s="32" t="n">
        <v>2539</v>
      </c>
      <c r="C2" s="32" t="n">
        <v>2803</v>
      </c>
      <c r="D2" s="32" t="n">
        <v>3103</v>
      </c>
      <c r="E2" s="32" t="n">
        <v>3190</v>
      </c>
      <c r="F2" s="32" t="n">
        <v>11635</v>
      </c>
      <c r="G2" s="31" t="n"/>
    </row>
    <row r="3">
      <c r="A3" s="31" t="inlineStr">
        <is>
          <t>Agency-SMB</t>
        </is>
      </c>
      <c r="B3" s="31" t="n">
        <v>1628</v>
      </c>
      <c r="C3" s="31" t="n">
        <v>1817</v>
      </c>
      <c r="D3" s="31" t="n">
        <v>2144</v>
      </c>
      <c r="E3" s="31" t="n">
        <v>2066</v>
      </c>
      <c r="F3" s="31" t="n">
        <v>7655</v>
      </c>
      <c r="G3" s="31" t="n"/>
    </row>
    <row r="4">
      <c r="A4" s="31" t="inlineStr">
        <is>
          <t>Agency-MM</t>
        </is>
      </c>
      <c r="B4" s="31" t="n">
        <v>316</v>
      </c>
      <c r="C4" s="31" t="n">
        <v>352</v>
      </c>
      <c r="D4" s="31" t="n">
        <v>416</v>
      </c>
      <c r="E4" s="31" t="n">
        <v>401</v>
      </c>
      <c r="F4" s="31" t="n">
        <v>1485</v>
      </c>
      <c r="G4" s="31" t="n"/>
    </row>
    <row r="5">
      <c r="A5" s="31" t="inlineStr">
        <is>
          <t>Europe-SMB</t>
        </is>
      </c>
      <c r="B5" s="31" t="n">
        <v>321</v>
      </c>
      <c r="C5" s="31" t="n">
        <v>342</v>
      </c>
      <c r="D5" s="31" t="n">
        <v>276</v>
      </c>
      <c r="E5" s="31" t="n">
        <v>391</v>
      </c>
      <c r="F5" s="31" t="n">
        <v>1330</v>
      </c>
      <c r="G5" s="31" t="n"/>
    </row>
    <row r="6">
      <c r="A6" s="31" t="inlineStr">
        <is>
          <t>Europe-MM</t>
        </is>
      </c>
      <c r="B6" s="31" t="n">
        <v>116</v>
      </c>
      <c r="C6" s="31" t="n">
        <v>124</v>
      </c>
      <c r="D6" s="31" t="n">
        <v>100</v>
      </c>
      <c r="E6" s="31" t="n">
        <v>141</v>
      </c>
      <c r="F6" s="31" t="n">
        <v>481</v>
      </c>
      <c r="G6" s="31" t="n"/>
    </row>
    <row r="7">
      <c r="A7" s="31" t="inlineStr">
        <is>
          <t>Europe-Ent</t>
        </is>
      </c>
      <c r="B7" s="31" t="n">
        <v>46</v>
      </c>
      <c r="C7" s="31" t="n">
        <v>49</v>
      </c>
      <c r="D7" s="31" t="n">
        <v>40</v>
      </c>
      <c r="E7" s="31" t="n">
        <v>56</v>
      </c>
      <c r="F7" s="31" t="n">
        <v>191</v>
      </c>
      <c r="G7" s="31" t="n"/>
    </row>
    <row r="8">
      <c r="A8" s="31" t="inlineStr">
        <is>
          <t>Enterprise</t>
        </is>
      </c>
      <c r="B8" s="31" t="n">
        <v>112</v>
      </c>
      <c r="C8" s="31" t="n">
        <v>119</v>
      </c>
      <c r="D8" s="31" t="n">
        <v>127</v>
      </c>
      <c r="E8" s="31" t="n">
        <v>135</v>
      </c>
      <c r="F8" s="31" t="n">
        <v>493</v>
      </c>
      <c r="G8" s="31" t="n"/>
    </row>
    <row r="9">
      <c r="A9" s="32" t="inlineStr">
        <is>
          <t>MQL to SQL Conversion</t>
        </is>
      </c>
      <c r="B9" s="33" t="n">
        <v>0.7846</v>
      </c>
      <c r="C9" s="33" t="n">
        <v>0.7842</v>
      </c>
      <c r="D9" s="33" t="n">
        <v>0.7844</v>
      </c>
      <c r="E9" s="33" t="n">
        <v>0.7837</v>
      </c>
      <c r="F9" s="33" t="n">
        <v>0.7842</v>
      </c>
      <c r="G9" s="31" t="n"/>
    </row>
    <row r="10">
      <c r="A10" s="31" t="inlineStr">
        <is>
          <t>Agency-SMB</t>
        </is>
      </c>
      <c r="B10" s="34" t="n">
        <v>0.75</v>
      </c>
      <c r="C10" s="34" t="n">
        <v>0.7501</v>
      </c>
      <c r="D10" s="34" t="n">
        <v>0.75</v>
      </c>
      <c r="E10" s="34" t="n">
        <v>0.7498</v>
      </c>
      <c r="F10" s="34" t="n">
        <v>0.75</v>
      </c>
      <c r="G10" s="31" t="n"/>
    </row>
    <row r="11">
      <c r="A11" s="31" t="inlineStr">
        <is>
          <t>Agency-MM</t>
        </is>
      </c>
      <c r="B11" s="34" t="n">
        <v>0.9399</v>
      </c>
      <c r="C11" s="34" t="n">
        <v>0.9403</v>
      </c>
      <c r="D11" s="34" t="n">
        <v>0.9399</v>
      </c>
      <c r="E11" s="34" t="n">
        <v>0.9401</v>
      </c>
      <c r="F11" s="34" t="n">
        <v>0.9401</v>
      </c>
      <c r="G11" s="31" t="n"/>
    </row>
    <row r="12">
      <c r="A12" s="31" t="inlineStr">
        <is>
          <t>Europe-SMB</t>
        </is>
      </c>
      <c r="B12" s="34" t="n">
        <v>0.7508</v>
      </c>
      <c r="C12" s="34" t="n">
        <v>0.7514999999999999</v>
      </c>
      <c r="D12" s="34" t="n">
        <v>0.75</v>
      </c>
      <c r="E12" s="34" t="n">
        <v>0.7494</v>
      </c>
      <c r="F12" s="34" t="n">
        <v>0.7504</v>
      </c>
      <c r="G12" s="31" t="n"/>
    </row>
    <row r="13">
      <c r="A13" s="31" t="inlineStr">
        <is>
          <t>Europe-MM</t>
        </is>
      </c>
      <c r="B13" s="34" t="n">
        <v>0.819</v>
      </c>
      <c r="C13" s="34" t="n">
        <v>0.8145</v>
      </c>
      <c r="D13" s="34" t="n">
        <v>0.82</v>
      </c>
      <c r="E13" s="34" t="n">
        <v>0.8156</v>
      </c>
      <c r="F13" s="34" t="n">
        <v>0.8169999999999999</v>
      </c>
      <c r="G13" s="31" t="n"/>
    </row>
    <row r="14">
      <c r="A14" s="31" t="inlineStr">
        <is>
          <t>Europe-Ent</t>
        </is>
      </c>
      <c r="B14" s="34" t="n">
        <v>0.8043</v>
      </c>
      <c r="C14" s="34" t="n">
        <v>0.7959000000000001</v>
      </c>
      <c r="D14" s="34" t="n">
        <v>0.8</v>
      </c>
      <c r="E14" s="34" t="n">
        <v>0.8036</v>
      </c>
      <c r="F14" s="34" t="n">
        <v>0.801</v>
      </c>
      <c r="G14" s="31" t="n"/>
    </row>
    <row r="15">
      <c r="A15" s="31" t="inlineStr">
        <is>
          <t>Enterprise</t>
        </is>
      </c>
      <c r="B15" s="34" t="n">
        <v>0.9018</v>
      </c>
      <c r="C15" s="34" t="n">
        <v>0.8992</v>
      </c>
      <c r="D15" s="34" t="n">
        <v>0.8976</v>
      </c>
      <c r="E15" s="34" t="n">
        <v>0.8963</v>
      </c>
      <c r="F15" s="34" t="n">
        <v>0.8986</v>
      </c>
      <c r="G15" s="31" t="n"/>
    </row>
    <row r="16">
      <c r="A16" s="32" t="inlineStr">
        <is>
          <t>SQL</t>
        </is>
      </c>
      <c r="B16" s="32" t="n">
        <v>1992</v>
      </c>
      <c r="C16" s="32" t="n">
        <v>2198</v>
      </c>
      <c r="D16" s="32" t="n">
        <v>2434</v>
      </c>
      <c r="E16" s="32" t="n">
        <v>2500</v>
      </c>
      <c r="F16" s="32" t="n">
        <v>9124</v>
      </c>
      <c r="G16" s="31" t="n"/>
    </row>
    <row r="17">
      <c r="A17" s="31" t="inlineStr">
        <is>
          <t>Agency-SMB</t>
        </is>
      </c>
      <c r="B17" s="31" t="n">
        <v>1221</v>
      </c>
      <c r="C17" s="31" t="n">
        <v>1363</v>
      </c>
      <c r="D17" s="31" t="n">
        <v>1608</v>
      </c>
      <c r="E17" s="31" t="n">
        <v>1549</v>
      </c>
      <c r="F17" s="31" t="n">
        <v>5741</v>
      </c>
      <c r="G17" s="31" t="n"/>
    </row>
    <row r="18">
      <c r="A18" s="31" t="inlineStr">
        <is>
          <t>Agency-MM</t>
        </is>
      </c>
      <c r="B18" s="31" t="n">
        <v>297</v>
      </c>
      <c r="C18" s="31" t="n">
        <v>331</v>
      </c>
      <c r="D18" s="31" t="n">
        <v>391</v>
      </c>
      <c r="E18" s="31" t="n">
        <v>377</v>
      </c>
      <c r="F18" s="31" t="n">
        <v>1396</v>
      </c>
      <c r="G18" s="31" t="n"/>
    </row>
    <row r="19">
      <c r="A19" s="31" t="inlineStr">
        <is>
          <t>Europe-SMB</t>
        </is>
      </c>
      <c r="B19" s="31" t="n">
        <v>241</v>
      </c>
      <c r="C19" s="31" t="n">
        <v>257</v>
      </c>
      <c r="D19" s="31" t="n">
        <v>207</v>
      </c>
      <c r="E19" s="31" t="n">
        <v>293</v>
      </c>
      <c r="F19" s="31" t="n">
        <v>998</v>
      </c>
      <c r="G19" s="31" t="n"/>
    </row>
    <row r="20">
      <c r="A20" s="31" t="inlineStr">
        <is>
          <t>Europe-MM</t>
        </is>
      </c>
      <c r="B20" s="31" t="n">
        <v>95</v>
      </c>
      <c r="C20" s="31" t="n">
        <v>101</v>
      </c>
      <c r="D20" s="31" t="n">
        <v>82</v>
      </c>
      <c r="E20" s="31" t="n">
        <v>115</v>
      </c>
      <c r="F20" s="31" t="n">
        <v>393</v>
      </c>
      <c r="G20" s="31" t="n"/>
    </row>
    <row r="21">
      <c r="A21" s="31" t="inlineStr">
        <is>
          <t>Europe-Ent</t>
        </is>
      </c>
      <c r="B21" s="31" t="n">
        <v>37</v>
      </c>
      <c r="C21" s="31" t="n">
        <v>39</v>
      </c>
      <c r="D21" s="31" t="n">
        <v>32</v>
      </c>
      <c r="E21" s="31" t="n">
        <v>45</v>
      </c>
      <c r="F21" s="31" t="n">
        <v>153</v>
      </c>
      <c r="G21" s="31" t="n"/>
    </row>
    <row r="22">
      <c r="A22" s="31" t="inlineStr">
        <is>
          <t>Enterprise</t>
        </is>
      </c>
      <c r="B22" s="31" t="n">
        <v>101</v>
      </c>
      <c r="C22" s="31" t="n">
        <v>107</v>
      </c>
      <c r="D22" s="31" t="n">
        <v>114</v>
      </c>
      <c r="E22" s="31" t="n">
        <v>121</v>
      </c>
      <c r="F22" s="31" t="n">
        <v>443</v>
      </c>
      <c r="G22" s="31" t="n"/>
    </row>
    <row r="23">
      <c r="A23" s="32" t="inlineStr">
        <is>
          <t>SQL to Opp Conversion</t>
        </is>
      </c>
      <c r="B23" s="33" t="n">
        <v>0.2028</v>
      </c>
      <c r="C23" s="33" t="n">
        <v>0.2034</v>
      </c>
      <c r="D23" s="33" t="n">
        <v>0.2054</v>
      </c>
      <c r="E23" s="33" t="n">
        <v>0.2028</v>
      </c>
      <c r="F23" s="33" t="n">
        <v>0.2036</v>
      </c>
      <c r="G23" s="31" t="n"/>
    </row>
    <row r="24">
      <c r="A24" s="31" t="inlineStr">
        <is>
          <t>Agency-SMB</t>
        </is>
      </c>
      <c r="B24" s="34" t="n">
        <v>0.1998</v>
      </c>
      <c r="C24" s="34" t="n">
        <v>0.2003</v>
      </c>
      <c r="D24" s="34" t="n">
        <v>0.2002</v>
      </c>
      <c r="E24" s="34" t="n">
        <v>0.2001</v>
      </c>
      <c r="F24" s="34" t="n">
        <v>0.2001</v>
      </c>
      <c r="G24" s="31" t="n"/>
    </row>
    <row r="25">
      <c r="A25" s="31" t="inlineStr">
        <is>
          <t>Agency-MM</t>
        </is>
      </c>
      <c r="B25" s="34" t="n">
        <v>0.2492</v>
      </c>
      <c r="C25" s="34" t="n">
        <v>0.2508</v>
      </c>
      <c r="D25" s="34" t="n">
        <v>0.2506</v>
      </c>
      <c r="E25" s="34" t="n">
        <v>0.2493</v>
      </c>
      <c r="F25" s="34" t="n">
        <v>0.25</v>
      </c>
      <c r="G25" s="31" t="n"/>
    </row>
    <row r="26">
      <c r="A26" s="31" t="inlineStr">
        <is>
          <t>Europe-SMB</t>
        </is>
      </c>
      <c r="B26" s="34" t="n">
        <v>0.1494</v>
      </c>
      <c r="C26" s="34" t="n">
        <v>0.1518</v>
      </c>
      <c r="D26" s="34" t="n">
        <v>0.1498</v>
      </c>
      <c r="E26" s="34" t="n">
        <v>0.1502</v>
      </c>
      <c r="F26" s="34" t="n">
        <v>0.1503</v>
      </c>
      <c r="G26" s="31" t="n"/>
    </row>
    <row r="27">
      <c r="A27" s="31" t="inlineStr">
        <is>
          <t>Europe-MM</t>
        </is>
      </c>
      <c r="B27" s="34" t="n">
        <v>0.2316</v>
      </c>
      <c r="C27" s="34" t="n">
        <v>0.2277</v>
      </c>
      <c r="D27" s="34" t="n">
        <v>0.2317</v>
      </c>
      <c r="E27" s="34" t="n">
        <v>0.2261</v>
      </c>
      <c r="F27" s="34" t="n">
        <v>0.229</v>
      </c>
      <c r="G27" s="31" t="n"/>
    </row>
    <row r="28">
      <c r="A28" s="31" t="inlineStr">
        <is>
          <t>Europe-Ent</t>
        </is>
      </c>
      <c r="B28" s="34" t="n">
        <v>0.1892</v>
      </c>
      <c r="C28" s="34" t="n">
        <v>0.1795</v>
      </c>
      <c r="D28" s="34" t="n">
        <v>0.1875</v>
      </c>
      <c r="E28" s="34" t="n">
        <v>0.1778</v>
      </c>
      <c r="F28" s="34" t="n">
        <v>0.183</v>
      </c>
      <c r="G28" s="31" t="n"/>
    </row>
    <row r="29">
      <c r="A29" s="31" t="inlineStr">
        <is>
          <t>Enterprise</t>
        </is>
      </c>
      <c r="B29" s="34" t="n">
        <v>0.2079</v>
      </c>
      <c r="C29" s="34" t="n">
        <v>0.2056</v>
      </c>
      <c r="D29" s="34" t="n">
        <v>0.2105</v>
      </c>
      <c r="E29" s="34" t="n">
        <v>0.2066</v>
      </c>
      <c r="F29" s="34" t="n">
        <v>0.2077</v>
      </c>
      <c r="G29" s="31" t="n"/>
    </row>
    <row r="30">
      <c r="A30" s="32" t="inlineStr">
        <is>
          <t>Total opportunities</t>
        </is>
      </c>
      <c r="B30" s="32" t="n">
        <v>404</v>
      </c>
      <c r="C30" s="32" t="n">
        <v>447</v>
      </c>
      <c r="D30" s="32" t="n">
        <v>500</v>
      </c>
      <c r="E30" s="32" t="n">
        <v>507</v>
      </c>
      <c r="F30" s="32" t="n">
        <v>1858</v>
      </c>
      <c r="G30" s="31" t="n"/>
    </row>
    <row r="31">
      <c r="A31" s="31" t="inlineStr">
        <is>
          <t>Agency-SMB</t>
        </is>
      </c>
      <c r="B31" s="31" t="n">
        <v>244</v>
      </c>
      <c r="C31" s="31" t="n">
        <v>273</v>
      </c>
      <c r="D31" s="31" t="n">
        <v>322</v>
      </c>
      <c r="E31" s="31" t="n">
        <v>310</v>
      </c>
      <c r="F31" s="31" t="n">
        <v>1149</v>
      </c>
      <c r="G31" s="31" t="n"/>
    </row>
    <row r="32">
      <c r="A32" s="31" t="inlineStr">
        <is>
          <t>Agency-MM</t>
        </is>
      </c>
      <c r="B32" s="31" t="n">
        <v>74</v>
      </c>
      <c r="C32" s="31" t="n">
        <v>83</v>
      </c>
      <c r="D32" s="31" t="n">
        <v>98</v>
      </c>
      <c r="E32" s="31" t="n">
        <v>94</v>
      </c>
      <c r="F32" s="31" t="n">
        <v>349</v>
      </c>
      <c r="G32" s="31" t="n"/>
    </row>
    <row r="33">
      <c r="A33" s="31" t="inlineStr">
        <is>
          <t>Europe-SMB</t>
        </is>
      </c>
      <c r="B33" s="31" t="n">
        <v>36</v>
      </c>
      <c r="C33" s="31" t="n">
        <v>39</v>
      </c>
      <c r="D33" s="31" t="n">
        <v>31</v>
      </c>
      <c r="E33" s="31" t="n">
        <v>44</v>
      </c>
      <c r="F33" s="31" t="n">
        <v>150</v>
      </c>
      <c r="G33" s="31" t="n"/>
    </row>
    <row r="34">
      <c r="A34" s="31" t="inlineStr">
        <is>
          <t>Europe-MM</t>
        </is>
      </c>
      <c r="B34" s="31" t="n">
        <v>22</v>
      </c>
      <c r="C34" s="31" t="n">
        <v>23</v>
      </c>
      <c r="D34" s="31" t="n">
        <v>19</v>
      </c>
      <c r="E34" s="31" t="n">
        <v>26</v>
      </c>
      <c r="F34" s="31" t="n">
        <v>90</v>
      </c>
      <c r="G34" s="31" t="n"/>
    </row>
    <row r="35">
      <c r="A35" s="31" t="inlineStr">
        <is>
          <t>Europe-Ent</t>
        </is>
      </c>
      <c r="B35" s="31" t="n">
        <v>7</v>
      </c>
      <c r="C35" s="31" t="n">
        <v>7</v>
      </c>
      <c r="D35" s="31" t="n">
        <v>6</v>
      </c>
      <c r="E35" s="31" t="n">
        <v>8</v>
      </c>
      <c r="F35" s="31" t="n">
        <v>28</v>
      </c>
      <c r="G35" s="31" t="n"/>
    </row>
    <row r="36">
      <c r="A36" s="31" t="inlineStr">
        <is>
          <t>Enterprise</t>
        </is>
      </c>
      <c r="B36" s="31" t="n">
        <v>21</v>
      </c>
      <c r="C36" s="31" t="n">
        <v>22</v>
      </c>
      <c r="D36" s="31" t="n">
        <v>24</v>
      </c>
      <c r="E36" s="31" t="n">
        <v>25</v>
      </c>
      <c r="F36" s="31" t="n">
        <v>92</v>
      </c>
      <c r="G36" s="31" t="n"/>
    </row>
    <row r="37">
      <c r="A37" s="32" t="inlineStr">
        <is>
          <t>Pipe Created</t>
        </is>
      </c>
      <c r="B37" s="32" t="inlineStr">
        <is>
          <t>$395,526</t>
        </is>
      </c>
      <c r="C37" s="32" t="inlineStr">
        <is>
          <t>$437,195</t>
        </is>
      </c>
      <c r="D37" s="32" t="inlineStr">
        <is>
          <t>$481,500</t>
        </is>
      </c>
      <c r="E37" s="32" t="inlineStr">
        <is>
          <t>$494,308</t>
        </is>
      </c>
      <c r="F37" s="32" t="inlineStr">
        <is>
          <t>$1,807,954</t>
        </is>
      </c>
      <c r="G37" s="31" t="inlineStr">
        <is>
          <t>$3,955</t>
        </is>
      </c>
    </row>
    <row r="38">
      <c r="A38" s="31" t="inlineStr">
        <is>
          <t>Agency-SMB</t>
        </is>
      </c>
      <c r="B38" s="31" t="inlineStr">
        <is>
          <t>$170,808</t>
        </is>
      </c>
      <c r="C38" s="31" t="inlineStr">
        <is>
          <t>$191,108</t>
        </is>
      </c>
      <c r="D38" s="31" t="inlineStr">
        <is>
          <t>$225,401</t>
        </is>
      </c>
      <c r="E38" s="31" t="inlineStr">
        <is>
          <t>$216,990</t>
        </is>
      </c>
      <c r="F38" s="31" t="inlineStr">
        <is>
          <t>$803,208</t>
        </is>
      </c>
      <c r="G38" s="31" t="n"/>
    </row>
    <row r="39">
      <c r="A39" s="31" t="inlineStr">
        <is>
          <t>Agency-MM</t>
        </is>
      </c>
      <c r="B39" s="31" t="inlineStr">
        <is>
          <t>$96,203</t>
        </is>
      </c>
      <c r="C39" s="31" t="inlineStr">
        <is>
          <t>$107,901</t>
        </is>
      </c>
      <c r="D39" s="31" t="inlineStr">
        <is>
          <t>$127,410</t>
        </is>
      </c>
      <c r="E39" s="31" t="inlineStr">
        <is>
          <t>$122,192</t>
        </is>
      </c>
      <c r="F39" s="31" t="inlineStr">
        <is>
          <t>$458,268</t>
        </is>
      </c>
      <c r="G39" s="31" t="n"/>
    </row>
    <row r="40">
      <c r="A40" s="31" t="inlineStr">
        <is>
          <t>Europe-SMB</t>
        </is>
      </c>
      <c r="B40" s="31" t="inlineStr">
        <is>
          <t>$28,800</t>
        </is>
      </c>
      <c r="C40" s="31" t="inlineStr">
        <is>
          <t>$31,202</t>
        </is>
      </c>
      <c r="D40" s="31" t="inlineStr">
        <is>
          <t>$24,801</t>
        </is>
      </c>
      <c r="E40" s="31" t="inlineStr">
        <is>
          <t>$35,200</t>
        </is>
      </c>
      <c r="F40" s="31" t="inlineStr">
        <is>
          <t>$120,000</t>
        </is>
      </c>
      <c r="G40" s="31" t="n"/>
    </row>
    <row r="41">
      <c r="A41" s="31" t="inlineStr">
        <is>
          <t>Europe-MM</t>
        </is>
      </c>
      <c r="B41" s="31" t="inlineStr">
        <is>
          <t>$23,868</t>
        </is>
      </c>
      <c r="C41" s="31" t="inlineStr">
        <is>
          <t>$26,613</t>
        </is>
      </c>
      <c r="D41" s="31" t="inlineStr">
        <is>
          <t>$21,262</t>
        </is>
      </c>
      <c r="E41" s="31" t="inlineStr">
        <is>
          <t>$29,404</t>
        </is>
      </c>
      <c r="F41" s="31" t="inlineStr">
        <is>
          <t>$101,076</t>
        </is>
      </c>
      <c r="G41" s="31" t="n"/>
    </row>
    <row r="42">
      <c r="A42" s="31" t="inlineStr">
        <is>
          <t>Europe-Ent</t>
        </is>
      </c>
      <c r="B42" s="31" t="inlineStr">
        <is>
          <t>$21,700</t>
        </is>
      </c>
      <c r="C42" s="31" t="inlineStr">
        <is>
          <t>$21,700</t>
        </is>
      </c>
      <c r="D42" s="31" t="inlineStr">
        <is>
          <t>$18,599</t>
        </is>
      </c>
      <c r="E42" s="31" t="inlineStr">
        <is>
          <t>$24,800</t>
        </is>
      </c>
      <c r="F42" s="31" t="inlineStr">
        <is>
          <t>$83,074</t>
        </is>
      </c>
      <c r="G42" s="31" t="n"/>
    </row>
    <row r="43">
      <c r="A43" s="31" t="inlineStr">
        <is>
          <t>Enterprise</t>
        </is>
      </c>
      <c r="B43" s="31" t="inlineStr">
        <is>
          <t>$65,103</t>
        </is>
      </c>
      <c r="C43" s="31" t="inlineStr">
        <is>
          <t>$68,194</t>
        </is>
      </c>
      <c r="D43" s="31" t="inlineStr">
        <is>
          <t>$74,395</t>
        </is>
      </c>
      <c r="E43" s="31" t="inlineStr">
        <is>
          <t>$77,500</t>
        </is>
      </c>
      <c r="F43" s="31" t="inlineStr">
        <is>
          <t>$286,237</t>
        </is>
      </c>
      <c r="G43" s="31" t="n"/>
    </row>
    <row r="44">
      <c r="A44" s="32" t="inlineStr">
        <is>
          <t>Win rate</t>
        </is>
      </c>
      <c r="B44" s="33" t="n">
        <v>0.6584</v>
      </c>
      <c r="C44" s="33" t="n">
        <v>0.6532</v>
      </c>
      <c r="D44" s="33" t="n">
        <v>0.652</v>
      </c>
      <c r="E44" s="33" t="n">
        <v>0.6588000000000001</v>
      </c>
      <c r="F44" s="33" t="n">
        <v>0.6555</v>
      </c>
      <c r="G44" s="31" t="n"/>
    </row>
    <row r="45">
      <c r="A45" s="31" t="inlineStr">
        <is>
          <t>Agency-SMB</t>
        </is>
      </c>
      <c r="B45" s="34" t="n">
        <v>0.6721</v>
      </c>
      <c r="C45" s="34" t="n">
        <v>0.6703</v>
      </c>
      <c r="D45" s="34" t="n">
        <v>0.6677</v>
      </c>
      <c r="E45" s="34" t="n">
        <v>0.671</v>
      </c>
      <c r="F45" s="34" t="n">
        <v>0.6701</v>
      </c>
      <c r="G45" s="31" t="n"/>
    </row>
    <row r="46">
      <c r="A46" s="31" t="inlineStr">
        <is>
          <t>Agency-MM</t>
        </is>
      </c>
      <c r="B46" s="34" t="n">
        <v>0.6216</v>
      </c>
      <c r="C46" s="34" t="n">
        <v>0.6264999999999999</v>
      </c>
      <c r="D46" s="34" t="n">
        <v>0.6224</v>
      </c>
      <c r="E46" s="34" t="n">
        <v>0.6277</v>
      </c>
      <c r="F46" s="34" t="n">
        <v>0.6246</v>
      </c>
      <c r="G46" s="31" t="n"/>
    </row>
    <row r="47">
      <c r="A47" s="31" t="inlineStr">
        <is>
          <t>Europe-SMB</t>
        </is>
      </c>
      <c r="B47" s="34" t="n">
        <v>0.75</v>
      </c>
      <c r="C47" s="34" t="n">
        <v>0.7179</v>
      </c>
      <c r="D47" s="34" t="n">
        <v>0.7419</v>
      </c>
      <c r="E47" s="34" t="n">
        <v>0.75</v>
      </c>
      <c r="F47" s="34" t="n">
        <v>0.74</v>
      </c>
      <c r="G47" s="31" t="n"/>
    </row>
    <row r="48">
      <c r="A48" s="31" t="inlineStr">
        <is>
          <t>Europe-MM</t>
        </is>
      </c>
      <c r="B48" s="34" t="n">
        <v>0.5455</v>
      </c>
      <c r="C48" s="34" t="n">
        <v>0.5217000000000001</v>
      </c>
      <c r="D48" s="34" t="n">
        <v>0.5263</v>
      </c>
      <c r="E48" s="34" t="n">
        <v>0.5385</v>
      </c>
      <c r="F48" s="34" t="n">
        <v>0.5333</v>
      </c>
      <c r="G48" s="31" t="n"/>
    </row>
    <row r="49">
      <c r="A49" s="31" t="inlineStr">
        <is>
          <t>Europe-Ent</t>
        </is>
      </c>
      <c r="B49" s="34" t="n">
        <v>0.7143</v>
      </c>
      <c r="C49" s="34" t="n">
        <v>0.7143</v>
      </c>
      <c r="D49" s="34" t="n">
        <v>0.6667</v>
      </c>
      <c r="E49" s="34" t="n">
        <v>0.75</v>
      </c>
      <c r="F49" s="34" t="n">
        <v>0.7143</v>
      </c>
      <c r="G49" s="31" t="n"/>
    </row>
    <row r="50">
      <c r="A50" s="31" t="inlineStr">
        <is>
          <t>Enterprise</t>
        </is>
      </c>
      <c r="B50" s="34" t="n">
        <v>0.5714</v>
      </c>
      <c r="C50" s="34" t="n">
        <v>0.5455</v>
      </c>
      <c r="D50" s="34" t="n">
        <v>0.5417</v>
      </c>
      <c r="E50" s="34" t="n">
        <v>0.5600000000000001</v>
      </c>
      <c r="F50" s="34" t="n">
        <v>0.5543</v>
      </c>
      <c r="G50" s="31" t="n"/>
    </row>
    <row r="51">
      <c r="A51" s="32" t="inlineStr">
        <is>
          <t>Won deals</t>
        </is>
      </c>
      <c r="B51" s="32" t="n">
        <v>266</v>
      </c>
      <c r="C51" s="32" t="n">
        <v>292</v>
      </c>
      <c r="D51" s="32" t="n">
        <v>326</v>
      </c>
      <c r="E51" s="32" t="n">
        <v>334</v>
      </c>
      <c r="F51" s="32" t="n">
        <v>1218</v>
      </c>
      <c r="G51" s="31" t="n"/>
    </row>
    <row r="52">
      <c r="A52" s="31" t="inlineStr">
        <is>
          <t>Agency-SMB</t>
        </is>
      </c>
      <c r="B52" s="31" t="n">
        <v>164</v>
      </c>
      <c r="C52" s="31" t="n">
        <v>183</v>
      </c>
      <c r="D52" s="31" t="n">
        <v>215</v>
      </c>
      <c r="E52" s="31" t="n">
        <v>208</v>
      </c>
      <c r="F52" s="31" t="n">
        <v>770</v>
      </c>
      <c r="G52" s="31" t="n"/>
    </row>
    <row r="53">
      <c r="A53" s="31" t="inlineStr">
        <is>
          <t>Agency-MM</t>
        </is>
      </c>
      <c r="B53" s="31" t="n">
        <v>46</v>
      </c>
      <c r="C53" s="31" t="n">
        <v>52</v>
      </c>
      <c r="D53" s="31" t="n">
        <v>61</v>
      </c>
      <c r="E53" s="31" t="n">
        <v>59</v>
      </c>
      <c r="F53" s="31" t="n">
        <v>218</v>
      </c>
      <c r="G53" s="31" t="n"/>
    </row>
    <row r="54">
      <c r="A54" s="31" t="inlineStr">
        <is>
          <t>Europe-SMB</t>
        </is>
      </c>
      <c r="B54" s="31" t="n">
        <v>27</v>
      </c>
      <c r="C54" s="31" t="n">
        <v>28</v>
      </c>
      <c r="D54" s="31" t="n">
        <v>23</v>
      </c>
      <c r="E54" s="31" t="n">
        <v>33</v>
      </c>
      <c r="F54" s="31" t="n">
        <v>111</v>
      </c>
      <c r="G54" s="31" t="n"/>
    </row>
    <row r="55">
      <c r="A55" s="31" t="inlineStr">
        <is>
          <t>Europe-MM</t>
        </is>
      </c>
      <c r="B55" s="31" t="n">
        <v>12</v>
      </c>
      <c r="C55" s="31" t="n">
        <v>12</v>
      </c>
      <c r="D55" s="31" t="n">
        <v>10</v>
      </c>
      <c r="E55" s="31" t="n">
        <v>14</v>
      </c>
      <c r="F55" s="31" t="n">
        <v>48</v>
      </c>
      <c r="G55" s="31" t="n"/>
    </row>
    <row r="56">
      <c r="A56" s="31" t="inlineStr">
        <is>
          <t>Europe-Ent</t>
        </is>
      </c>
      <c r="B56" s="31" t="n">
        <v>5</v>
      </c>
      <c r="C56" s="31" t="n">
        <v>5</v>
      </c>
      <c r="D56" s="31" t="n">
        <v>4</v>
      </c>
      <c r="E56" s="31" t="n">
        <v>6</v>
      </c>
      <c r="F56" s="31" t="n">
        <v>20</v>
      </c>
      <c r="G56" s="31" t="n"/>
    </row>
    <row r="57">
      <c r="A57" s="31" t="inlineStr">
        <is>
          <t>Enterprise</t>
        </is>
      </c>
      <c r="B57" s="31" t="n">
        <v>12</v>
      </c>
      <c r="C57" s="31" t="n">
        <v>12</v>
      </c>
      <c r="D57" s="31" t="n">
        <v>13</v>
      </c>
      <c r="E57" s="31" t="n">
        <v>14</v>
      </c>
      <c r="F57" s="31" t="n">
        <v>51</v>
      </c>
      <c r="G57" s="31" t="n"/>
    </row>
    <row r="58">
      <c r="A58" s="32" t="inlineStr">
        <is>
          <t>Average MRR</t>
        </is>
      </c>
      <c r="B58" s="32" t="inlineStr">
        <is>
          <t>$979</t>
        </is>
      </c>
      <c r="C58" s="32" t="inlineStr">
        <is>
          <t>$978</t>
        </is>
      </c>
      <c r="D58" s="32" t="inlineStr">
        <is>
          <t>$963</t>
        </is>
      </c>
      <c r="E58" s="32" t="inlineStr">
        <is>
          <t>$975</t>
        </is>
      </c>
      <c r="F58" s="32" t="inlineStr">
        <is>
          <t>$973</t>
        </is>
      </c>
      <c r="G58" s="31" t="n"/>
    </row>
    <row r="59">
      <c r="A59" s="31" t="inlineStr">
        <is>
          <t>Agency-SMB</t>
        </is>
      </c>
      <c r="B59" s="31" t="inlineStr">
        <is>
          <t>$700</t>
        </is>
      </c>
      <c r="C59" s="31" t="inlineStr">
        <is>
          <t>$700</t>
        </is>
      </c>
      <c r="D59" s="31" t="inlineStr">
        <is>
          <t>$700</t>
        </is>
      </c>
      <c r="E59" s="31" t="inlineStr">
        <is>
          <t>$700</t>
        </is>
      </c>
      <c r="F59" s="31" t="inlineStr">
        <is>
          <t>$699</t>
        </is>
      </c>
      <c r="G59" s="31" t="n"/>
    </row>
    <row r="60">
      <c r="A60" s="31" t="inlineStr">
        <is>
          <t>Agency-MM</t>
        </is>
      </c>
      <c r="B60" s="31" t="inlineStr">
        <is>
          <t>$1,300</t>
        </is>
      </c>
      <c r="C60" s="31" t="inlineStr">
        <is>
          <t>$1,300</t>
        </is>
      </c>
      <c r="D60" s="31" t="inlineStr">
        <is>
          <t>$1,300</t>
        </is>
      </c>
      <c r="E60" s="31" t="inlineStr">
        <is>
          <t>$1,300</t>
        </is>
      </c>
      <c r="F60" s="31" t="inlineStr">
        <is>
          <t>$1,313</t>
        </is>
      </c>
      <c r="G60" s="31" t="n"/>
    </row>
    <row r="61">
      <c r="A61" s="31" t="inlineStr">
        <is>
          <t>Europe-SMB</t>
        </is>
      </c>
      <c r="B61" s="31" t="inlineStr">
        <is>
          <t>$800</t>
        </is>
      </c>
      <c r="C61" s="31" t="inlineStr">
        <is>
          <t>$800</t>
        </is>
      </c>
      <c r="D61" s="31" t="inlineStr">
        <is>
          <t>$800</t>
        </is>
      </c>
      <c r="E61" s="31" t="inlineStr">
        <is>
          <t>$800</t>
        </is>
      </c>
      <c r="F61" s="31" t="inlineStr">
        <is>
          <t>$800</t>
        </is>
      </c>
      <c r="G61" s="31" t="n"/>
    </row>
    <row r="62">
      <c r="A62" s="31" t="inlineStr">
        <is>
          <t>Europe-MM</t>
        </is>
      </c>
      <c r="B62" s="31" t="inlineStr">
        <is>
          <t>$1,085</t>
        </is>
      </c>
      <c r="C62" s="31" t="inlineStr">
        <is>
          <t>$1,157</t>
        </is>
      </c>
      <c r="D62" s="31" t="inlineStr">
        <is>
          <t>$1,119</t>
        </is>
      </c>
      <c r="E62" s="31" t="inlineStr">
        <is>
          <t>$1,131</t>
        </is>
      </c>
      <c r="F62" s="31" t="inlineStr">
        <is>
          <t>$1,123</t>
        </is>
      </c>
      <c r="G62" s="31" t="n"/>
    </row>
    <row r="63">
      <c r="A63" s="31" t="inlineStr">
        <is>
          <t>Europe-Ent</t>
        </is>
      </c>
      <c r="B63" s="31" t="inlineStr">
        <is>
          <t>$3,100</t>
        </is>
      </c>
      <c r="C63" s="31" t="inlineStr">
        <is>
          <t>$3,100</t>
        </is>
      </c>
      <c r="D63" s="31" t="inlineStr">
        <is>
          <t>$3,100</t>
        </is>
      </c>
      <c r="E63" s="31" t="inlineStr">
        <is>
          <t>$3,100</t>
        </is>
      </c>
      <c r="F63" s="31" t="inlineStr">
        <is>
          <t>$2,967</t>
        </is>
      </c>
      <c r="G63" s="31" t="n"/>
    </row>
    <row r="64">
      <c r="A64" s="31" t="inlineStr">
        <is>
          <t>Enterprise</t>
        </is>
      </c>
      <c r="B64" s="31" t="inlineStr">
        <is>
          <t>$3,100</t>
        </is>
      </c>
      <c r="C64" s="31" t="inlineStr">
        <is>
          <t>$3,100</t>
        </is>
      </c>
      <c r="D64" s="31" t="inlineStr">
        <is>
          <t>$3,100</t>
        </is>
      </c>
      <c r="E64" s="31" t="inlineStr">
        <is>
          <t>$3,100</t>
        </is>
      </c>
      <c r="F64" s="31" t="inlineStr">
        <is>
          <t>$3,111</t>
        </is>
      </c>
      <c r="G64" s="31" t="n"/>
    </row>
    <row r="65">
      <c r="A65" s="32" t="inlineStr">
        <is>
          <t>Win  MRR</t>
        </is>
      </c>
      <c r="B65" s="32" t="inlineStr">
        <is>
          <t>$260,474</t>
        </is>
      </c>
      <c r="C65" s="32" t="inlineStr">
        <is>
          <t>$285,699</t>
        </is>
      </c>
      <c r="D65" s="32" t="inlineStr">
        <is>
          <t>$313,794</t>
        </is>
      </c>
      <c r="E65" s="32" t="inlineStr">
        <is>
          <t>$325,610</t>
        </is>
      </c>
      <c r="F65" s="32" t="inlineStr">
        <is>
          <t>$1,185,577</t>
        </is>
      </c>
      <c r="G65" s="31" t="n"/>
    </row>
    <row r="66">
      <c r="A66" s="31" t="inlineStr">
        <is>
          <t>Agency-SMB</t>
        </is>
      </c>
      <c r="B66" s="31" t="inlineStr">
        <is>
          <t>$114,560</t>
        </is>
      </c>
      <c r="C66" s="31" t="inlineStr">
        <is>
          <t>$127,833</t>
        </is>
      </c>
      <c r="D66" s="31" t="inlineStr">
        <is>
          <t>$150,823</t>
        </is>
      </c>
      <c r="E66" s="31" t="inlineStr">
        <is>
          <t>$145,338</t>
        </is>
      </c>
      <c r="F66" s="31" t="inlineStr">
        <is>
          <t>$538,554</t>
        </is>
      </c>
      <c r="G66" s="31" t="n"/>
    </row>
    <row r="67">
      <c r="A67" s="31" t="inlineStr">
        <is>
          <t>Agency-MM</t>
        </is>
      </c>
      <c r="B67" s="31" t="inlineStr">
        <is>
          <t>$60,903</t>
        </is>
      </c>
      <c r="C67" s="31" t="inlineStr">
        <is>
          <t>$67,959</t>
        </is>
      </c>
      <c r="D67" s="31" t="inlineStr">
        <is>
          <t>$80,181</t>
        </is>
      </c>
      <c r="E67" s="31" t="inlineStr">
        <is>
          <t>$77,265</t>
        </is>
      </c>
      <c r="F67" s="31" t="inlineStr">
        <is>
          <t>$286,308</t>
        </is>
      </c>
      <c r="G67" s="31" t="n"/>
    </row>
    <row r="68">
      <c r="A68" s="31" t="inlineStr">
        <is>
          <t>Europe-SMB</t>
        </is>
      </c>
      <c r="B68" s="31" t="inlineStr">
        <is>
          <t>$21,600</t>
        </is>
      </c>
      <c r="C68" s="31" t="inlineStr">
        <is>
          <t>$22,400</t>
        </is>
      </c>
      <c r="D68" s="31" t="inlineStr">
        <is>
          <t>$18,400</t>
        </is>
      </c>
      <c r="E68" s="31" t="inlineStr">
        <is>
          <t>$26,400</t>
        </is>
      </c>
      <c r="F68" s="31" t="inlineStr">
        <is>
          <t>$88,800</t>
        </is>
      </c>
      <c r="G68" s="31" t="n"/>
    </row>
    <row r="69">
      <c r="A69" s="31" t="inlineStr">
        <is>
          <t>Europe-MM</t>
        </is>
      </c>
      <c r="B69" s="31" t="inlineStr">
        <is>
          <t>$13,018</t>
        </is>
      </c>
      <c r="C69" s="31" t="inlineStr">
        <is>
          <t>$13,879</t>
        </is>
      </c>
      <c r="D69" s="31" t="inlineStr">
        <is>
          <t>$11,189</t>
        </is>
      </c>
      <c r="E69" s="31" t="inlineStr">
        <is>
          <t>$15,837</t>
        </is>
      </c>
      <c r="F69" s="31" t="inlineStr">
        <is>
          <t>$53,923</t>
        </is>
      </c>
      <c r="G69" s="31" t="n"/>
    </row>
    <row r="70">
      <c r="A70" s="31" t="inlineStr">
        <is>
          <t>Europe-Ent</t>
        </is>
      </c>
      <c r="B70" s="31" t="inlineStr">
        <is>
          <t>$14,324</t>
        </is>
      </c>
      <c r="C70" s="31" t="inlineStr">
        <is>
          <t>$15,272</t>
        </is>
      </c>
      <c r="D70" s="31" t="inlineStr">
        <is>
          <t>$12,312</t>
        </is>
      </c>
      <c r="E70" s="31" t="inlineStr">
        <is>
          <t>$17,426</t>
        </is>
      </c>
      <c r="F70" s="31" t="inlineStr">
        <is>
          <t>$59,334</t>
        </is>
      </c>
      <c r="G70" s="31" t="n"/>
    </row>
    <row r="71">
      <c r="A71" s="31" t="inlineStr">
        <is>
          <t>Enterprise</t>
        </is>
      </c>
      <c r="B71" s="31" t="inlineStr">
        <is>
          <t>$36,069</t>
        </is>
      </c>
      <c r="C71" s="31" t="inlineStr">
        <is>
          <t>$38,356</t>
        </is>
      </c>
      <c r="D71" s="31" t="inlineStr">
        <is>
          <t>$40,889</t>
        </is>
      </c>
      <c r="E71" s="31" t="inlineStr">
        <is>
          <t>$43,344</t>
        </is>
      </c>
      <c r="F71" s="31" t="inlineStr">
        <is>
          <t>$158,658</t>
        </is>
      </c>
      <c r="G71" s="31" t="n"/>
    </row>
    <row r="72">
      <c r="A72" s="32" t="inlineStr">
        <is>
          <t>SQL to CW Opp</t>
        </is>
      </c>
      <c r="B72" s="33" t="n">
        <v>0.1335</v>
      </c>
      <c r="C72" s="33" t="n">
        <v>0.1328</v>
      </c>
      <c r="D72" s="33" t="n">
        <v>0.1339</v>
      </c>
      <c r="E72" s="33" t="n">
        <v>0.1336</v>
      </c>
      <c r="F72" s="33" t="n">
        <v>0.1335</v>
      </c>
      <c r="G72" s="31" t="n"/>
    </row>
    <row r="73">
      <c r="A73" s="31" t="inlineStr">
        <is>
          <t>Agency-SMB</t>
        </is>
      </c>
      <c r="B73" s="34" t="n">
        <v>0.1343</v>
      </c>
      <c r="C73" s="34" t="n">
        <v>0.1343</v>
      </c>
      <c r="D73" s="34" t="n">
        <v>0.1337</v>
      </c>
      <c r="E73" s="34" t="n">
        <v>0.1343</v>
      </c>
      <c r="F73" s="34" t="n">
        <v>0.1341</v>
      </c>
      <c r="G73" s="31" t="n"/>
    </row>
    <row r="74">
      <c r="A74" s="31" t="inlineStr">
        <is>
          <t>Agency-MM</t>
        </is>
      </c>
      <c r="B74" s="34" t="n">
        <v>0.1549</v>
      </c>
      <c r="C74" s="34" t="n">
        <v>0.1571</v>
      </c>
      <c r="D74" s="34" t="n">
        <v>0.156</v>
      </c>
      <c r="E74" s="34" t="n">
        <v>0.1565</v>
      </c>
      <c r="F74" s="34" t="n">
        <v>0.1562</v>
      </c>
      <c r="G74" s="31" t="n"/>
    </row>
    <row r="75">
      <c r="A75" s="31" t="inlineStr">
        <is>
          <t>Europe-SMB</t>
        </is>
      </c>
      <c r="B75" s="34" t="n">
        <v>0.112</v>
      </c>
      <c r="C75" s="34" t="n">
        <v>0.1089</v>
      </c>
      <c r="D75" s="34" t="n">
        <v>0.1111</v>
      </c>
      <c r="E75" s="34" t="n">
        <v>0.1126</v>
      </c>
      <c r="F75" s="34" t="n">
        <v>0.1112</v>
      </c>
      <c r="G75" s="31" t="n"/>
    </row>
    <row r="76">
      <c r="A76" s="31" t="inlineStr">
        <is>
          <t>Europe-MM</t>
        </is>
      </c>
      <c r="B76" s="34" t="n">
        <v>0.1263</v>
      </c>
      <c r="C76" s="34" t="n">
        <v>0.1188</v>
      </c>
      <c r="D76" s="34" t="n">
        <v>0.122</v>
      </c>
      <c r="E76" s="34" t="n">
        <v>0.1217</v>
      </c>
      <c r="F76" s="34" t="n">
        <v>0.1221</v>
      </c>
      <c r="G76" s="31" t="n"/>
    </row>
    <row r="77">
      <c r="A77" s="31" t="inlineStr">
        <is>
          <t>Europe-Ent</t>
        </is>
      </c>
      <c r="B77" s="34" t="n">
        <v>0.1351</v>
      </c>
      <c r="C77" s="34" t="n">
        <v>0.1282</v>
      </c>
      <c r="D77" s="34" t="n">
        <v>0.125</v>
      </c>
      <c r="E77" s="34" t="n">
        <v>0.1333</v>
      </c>
      <c r="F77" s="34" t="n">
        <v>0.1307</v>
      </c>
      <c r="G77" s="31" t="n"/>
    </row>
    <row r="78">
      <c r="A78" s="31" t="inlineStr">
        <is>
          <t>Enterprise</t>
        </is>
      </c>
      <c r="B78" s="34" t="n">
        <v>0.1188</v>
      </c>
      <c r="C78" s="34" t="n">
        <v>0.1121</v>
      </c>
      <c r="D78" s="34" t="n">
        <v>0.114</v>
      </c>
      <c r="E78" s="34" t="n">
        <v>0.1157</v>
      </c>
      <c r="F78" s="34" t="n">
        <v>0.1151</v>
      </c>
      <c r="G78" s="3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10" defaultColWidth="12.6640625" defaultRowHeight="15.75" customHeight="1"/>
  <cols>
    <col width="19.33203125" customWidth="1" min="1" max="1"/>
    <col width="46.6640625" customWidth="1" min="2" max="2"/>
  </cols>
  <sheetData>
    <row r="1" ht="15.75" customHeight="1">
      <c r="A1" s="26" t="inlineStr">
        <is>
          <t>Metrics</t>
        </is>
      </c>
      <c r="B1" s="7" t="inlineStr">
        <is>
          <t>Explanation</t>
        </is>
      </c>
    </row>
    <row r="2" ht="15.75" customHeight="1">
      <c r="A2" s="26" t="inlineStr">
        <is>
          <t># First Visit</t>
        </is>
      </c>
      <c r="B2" s="7" t="inlineStr">
        <is>
          <t>from report</t>
        </is>
      </c>
    </row>
    <row r="3" ht="15.75" customHeight="1">
      <c r="A3" s="26" t="inlineStr">
        <is>
          <t>CVR First Visit To Sign Up</t>
        </is>
      </c>
      <c r="B3" s="7" t="inlineStr">
        <is>
          <t>need to be calculated - sign ups/first visits</t>
        </is>
      </c>
    </row>
    <row r="4" ht="15.75" customHeight="1">
      <c r="A4" s="26" t="inlineStr">
        <is>
          <t># Sign Ups</t>
        </is>
      </c>
      <c r="B4" s="7" t="inlineStr">
        <is>
          <t>from report</t>
        </is>
      </c>
    </row>
    <row r="5" ht="15.75" customHeight="1">
      <c r="A5" s="26" t="inlineStr">
        <is>
          <t>CVR Sign Up To Trial</t>
        </is>
      </c>
      <c r="B5" s="7" t="inlineStr">
        <is>
          <t>need to be calculated - Trials/sign ups</t>
        </is>
      </c>
    </row>
    <row r="6" ht="15.75" customHeight="1">
      <c r="A6" s="26" t="inlineStr">
        <is>
          <t># Trials</t>
        </is>
      </c>
      <c r="B6" s="7" t="inlineStr">
        <is>
          <t>from report</t>
        </is>
      </c>
    </row>
    <row r="7" ht="15.75" customHeight="1">
      <c r="A7" s="26" t="inlineStr">
        <is>
          <t>CVR Trial To Subscription</t>
        </is>
      </c>
      <c r="B7" s="7" t="inlineStr">
        <is>
          <t>need to be calculated - subscription/Trials</t>
        </is>
      </c>
    </row>
    <row r="8" ht="15.75" customHeight="1">
      <c r="A8" s="26" t="inlineStr">
        <is>
          <t>CVR Sign up To Subscription</t>
        </is>
      </c>
      <c r="B8" s="7" t="inlineStr">
        <is>
          <t>need to be calculated - subscription/Sign up</t>
        </is>
      </c>
    </row>
    <row r="9" ht="15.75" customHeight="1">
      <c r="A9" s="26" t="inlineStr">
        <is>
          <t># Subscriptions</t>
        </is>
      </c>
      <c r="B9" s="7" t="inlineStr">
        <is>
          <t>from report</t>
        </is>
      </c>
    </row>
    <row r="10" ht="15.75" customHeight="1">
      <c r="A10" s="26" t="inlineStr">
        <is>
          <t>ARPU</t>
        </is>
      </c>
      <c r="B10" s="7" t="inlineStr">
        <is>
          <t>need to be calculated - First MRR/subscription</t>
        </is>
      </c>
    </row>
    <row r="11" ht="15.75" customHeight="1">
      <c r="A11" s="26" t="inlineStr">
        <is>
          <t>First MRR</t>
        </is>
      </c>
      <c r="B11" s="7" t="inlineStr">
        <is>
          <t>from report</t>
        </is>
      </c>
    </row>
    <row r="12" ht="15.75" customHeight="1">
      <c r="A12" s="26" t="inlineStr">
        <is>
          <t># Reactivation</t>
        </is>
      </c>
      <c r="B12" s="7" t="inlineStr">
        <is>
          <t>from report</t>
        </is>
      </c>
    </row>
    <row r="13" ht="15.75" customHeight="1">
      <c r="A13" s="26" t="inlineStr">
        <is>
          <t>Reactivation MRR</t>
        </is>
      </c>
      <c r="B13" s="7" t="inlineStr">
        <is>
          <t>from report</t>
        </is>
      </c>
    </row>
    <row r="14" ht="15.75" customHeight="1">
      <c r="A14" s="26" t="inlineStr">
        <is>
          <t># Churns</t>
        </is>
      </c>
      <c r="B14" s="7" t="inlineStr">
        <is>
          <t>from report</t>
        </is>
      </c>
    </row>
    <row r="15" ht="15.75" customHeight="1">
      <c r="A15" s="26" t="inlineStr">
        <is>
          <t>Churn MRR</t>
        </is>
      </c>
      <c r="B15" s="7" t="inlineStr">
        <is>
          <t>from report</t>
        </is>
      </c>
    </row>
    <row r="16" ht="15.75" customHeight="1">
      <c r="A16" s="26" t="inlineStr">
        <is>
          <t>Expansion Delta MRR</t>
        </is>
      </c>
      <c r="B16" s="7" t="inlineStr">
        <is>
          <t>from report</t>
        </is>
      </c>
    </row>
    <row r="17" ht="15.75" customHeight="1">
      <c r="A17" s="26" t="inlineStr">
        <is>
          <t>Reduction Delta MRR</t>
        </is>
      </c>
      <c r="B17" s="7" t="inlineStr">
        <is>
          <t>from report</t>
        </is>
      </c>
    </row>
    <row r="18" ht="15.75" customHeight="1">
      <c r="A18" s="26" t="inlineStr">
        <is>
          <t>Net Subscribers</t>
        </is>
      </c>
      <c r="B18" s="7" t="inlineStr">
        <is>
          <t>from report</t>
        </is>
      </c>
    </row>
    <row r="19" ht="15.75" customHeight="1">
      <c r="A19" s="26" t="inlineStr">
        <is>
          <t>Net MRR</t>
        </is>
      </c>
      <c r="B19" s="7" t="inlineStr">
        <is>
          <t>from report</t>
        </is>
      </c>
    </row>
    <row r="20" ht="15.75" customHeight="1">
      <c r="A20" s="26" t="inlineStr">
        <is>
          <t># MQLs</t>
        </is>
      </c>
      <c r="B20" s="7" t="inlineStr">
        <is>
          <t>from report</t>
        </is>
      </c>
    </row>
    <row r="21" ht="15.75" customHeight="1">
      <c r="A21" s="26" t="inlineStr">
        <is>
          <t># SQLs</t>
        </is>
      </c>
      <c r="B21" s="7" t="inlineStr">
        <is>
          <t>from report</t>
        </is>
      </c>
    </row>
    <row r="22" ht="15.75" customHeight="1">
      <c r="A22" s="26" t="inlineStr">
        <is>
          <t>MRR Created Amount</t>
        </is>
      </c>
      <c r="B22" s="7" t="inlineStr">
        <is>
          <t>from report</t>
        </is>
      </c>
    </row>
    <row r="23" ht="15.75" customHeight="1">
      <c r="A23" s="26" t="inlineStr">
        <is>
          <t>Won Deal MRR Amount</t>
        </is>
      </c>
      <c r="B23" s="7" t="inlineStr">
        <is>
          <t>from report</t>
        </is>
      </c>
    </row>
    <row r="26" ht="15.75" customHeight="1">
      <c r="A26" s="7" t="inlineStr">
        <is>
          <t>Channel group</t>
        </is>
      </c>
      <c r="B26" s="7" t="inlineStr">
        <is>
          <t>Explanation</t>
        </is>
      </c>
    </row>
    <row r="27" ht="15.75" customHeight="1">
      <c r="A27" s="7" t="inlineStr">
        <is>
          <t xml:space="preserve">"Guest" </t>
        </is>
      </c>
      <c r="B27" s="7" t="inlineStr">
        <is>
          <t>Users who were guests on content recirded on the platform</t>
        </is>
      </c>
    </row>
    <row r="28" ht="15.75" customHeight="1">
      <c r="A28" s="7" t="inlineStr">
        <is>
          <t>"Unknown"</t>
        </is>
      </c>
      <c r="B28" s="7" t="inlineStr">
        <is>
          <t>UNtrackable users who were created on signup and we don't have their original source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3"/>
  <sheetViews>
    <sheetView workbookViewId="0">
      <selection activeCell="A1" sqref="A1"/>
    </sheetView>
  </sheetViews>
  <sheetFormatPr baseColWidth="10" defaultColWidth="12.6640625" defaultRowHeight="15.75" customHeight="1"/>
  <cols>
    <col width="14" customWidth="1" min="5" max="5"/>
  </cols>
  <sheetData>
    <row r="1" ht="15.75" customHeight="1">
      <c r="A1" s="7" t="inlineStr">
        <is>
          <t>SQL</t>
        </is>
      </c>
      <c r="B1" s="7" t="n">
        <v>1992</v>
      </c>
      <c r="C1" s="7">
        <f>B1</f>
        <v/>
      </c>
    </row>
    <row r="2" ht="15.75" customHeight="1">
      <c r="A2" s="7" t="inlineStr">
        <is>
          <t>Agency-SMB</t>
        </is>
      </c>
      <c r="B2" s="7" t="n">
        <v>1221</v>
      </c>
      <c r="E2" s="30" t="inlineStr">
        <is>
          <t>SQLs - Agency</t>
        </is>
      </c>
      <c r="F2" s="7" t="n">
        <v>1518</v>
      </c>
    </row>
    <row r="3" ht="15.75" customHeight="1">
      <c r="A3" s="7" t="inlineStr">
        <is>
          <t>Agency-MM</t>
        </is>
      </c>
      <c r="B3" s="7" t="n">
        <v>297</v>
      </c>
      <c r="E3" s="30" t="inlineStr">
        <is>
          <t>SQLs - Ent</t>
        </is>
      </c>
      <c r="F3" s="7" t="n">
        <v>101</v>
      </c>
    </row>
    <row r="4" ht="15.75" customHeight="1">
      <c r="A4" s="7" t="inlineStr">
        <is>
          <t>Europe-SMB</t>
        </is>
      </c>
      <c r="B4" s="7" t="n">
        <v>241</v>
      </c>
      <c r="E4" s="30" t="inlineStr">
        <is>
          <t>SQLs - EU</t>
        </is>
      </c>
      <c r="F4" s="7" t="n">
        <v>373</v>
      </c>
    </row>
    <row r="5" ht="15.75" customHeight="1">
      <c r="A5" s="7" t="inlineStr">
        <is>
          <t>Europe-MM</t>
        </is>
      </c>
      <c r="B5" s="7" t="n">
        <v>95</v>
      </c>
      <c r="E5" s="30" t="inlineStr">
        <is>
          <t>Pipe - Agency</t>
        </is>
      </c>
      <c r="F5" s="7" t="n">
        <v>267000</v>
      </c>
    </row>
    <row r="6" ht="15.75" customHeight="1">
      <c r="A6" s="7" t="inlineStr">
        <is>
          <t>Europe-Ent</t>
        </is>
      </c>
      <c r="B6" s="7" t="n">
        <v>37</v>
      </c>
      <c r="E6" s="30" t="inlineStr">
        <is>
          <t>Pipe - Ent</t>
        </is>
      </c>
      <c r="F6" s="7" t="n">
        <v>65100</v>
      </c>
    </row>
    <row r="7" ht="15.75" customHeight="1">
      <c r="A7" s="7" t="inlineStr">
        <is>
          <t>Enterprise</t>
        </is>
      </c>
      <c r="B7" s="7" t="n">
        <v>101</v>
      </c>
      <c r="E7" s="30" t="inlineStr">
        <is>
          <t>Pipe - EU</t>
        </is>
      </c>
      <c r="F7" s="7" t="n">
        <v>74366</v>
      </c>
    </row>
    <row r="8" ht="15.75" customHeight="1">
      <c r="A8" s="7" t="inlineStr">
        <is>
          <t>SQL to Opp Conversion</t>
        </is>
      </c>
      <c r="B8" s="27" t="n">
        <v>0.2028</v>
      </c>
      <c r="E8" s="30" t="inlineStr">
        <is>
          <t>B2B MRR</t>
        </is>
      </c>
      <c r="F8" s="28" t="n">
        <v>260474</v>
      </c>
    </row>
    <row r="9" ht="15.75" customHeight="1">
      <c r="A9" s="7" t="inlineStr">
        <is>
          <t>Agency-SMB</t>
        </is>
      </c>
      <c r="B9" s="27" t="n">
        <v>0.1998</v>
      </c>
    </row>
    <row r="10" ht="15.75" customHeight="1">
      <c r="A10" s="7" t="inlineStr">
        <is>
          <t>Agency-MM</t>
        </is>
      </c>
      <c r="B10" s="27" t="n">
        <v>0.2492</v>
      </c>
    </row>
    <row r="11" ht="15.75" customHeight="1">
      <c r="A11" s="7" t="inlineStr">
        <is>
          <t>Europe-SMB</t>
        </is>
      </c>
      <c r="B11" s="27" t="n">
        <v>0.1494</v>
      </c>
    </row>
    <row r="12" ht="15.75" customHeight="1">
      <c r="A12" s="7" t="inlineStr">
        <is>
          <t>Europe-MM</t>
        </is>
      </c>
      <c r="B12" s="27" t="n">
        <v>0.2316</v>
      </c>
    </row>
    <row r="13" ht="15.75" customHeight="1">
      <c r="A13" s="7" t="inlineStr">
        <is>
          <t>Europe-Ent</t>
        </is>
      </c>
      <c r="B13" s="27" t="n">
        <v>0.1892</v>
      </c>
    </row>
    <row r="14" ht="15.75" customHeight="1">
      <c r="A14" s="7" t="inlineStr">
        <is>
          <t>Enterprise</t>
        </is>
      </c>
      <c r="B14" s="27" t="n">
        <v>0.2079</v>
      </c>
    </row>
    <row r="15" ht="15.75" customHeight="1">
      <c r="A15" s="7" t="inlineStr">
        <is>
          <t>Total opportunities</t>
        </is>
      </c>
      <c r="B15" s="7" t="n">
        <v>404</v>
      </c>
    </row>
    <row r="16" ht="15.75" customHeight="1">
      <c r="A16" s="7" t="inlineStr">
        <is>
          <t>Agency-SMB</t>
        </is>
      </c>
      <c r="B16" s="7" t="n">
        <v>244</v>
      </c>
    </row>
    <row r="17" ht="15.75" customHeight="1">
      <c r="A17" s="7" t="inlineStr">
        <is>
          <t>Agency-MM</t>
        </is>
      </c>
      <c r="B17" s="7" t="n">
        <v>74</v>
      </c>
    </row>
    <row r="18" ht="15.75" customHeight="1">
      <c r="A18" s="7" t="inlineStr">
        <is>
          <t>Europe-SMB</t>
        </is>
      </c>
      <c r="B18" s="7" t="n">
        <v>36</v>
      </c>
    </row>
    <row r="19" ht="15.75" customHeight="1">
      <c r="A19" s="7" t="inlineStr">
        <is>
          <t>Europe-MM</t>
        </is>
      </c>
      <c r="B19" s="7" t="n">
        <v>22</v>
      </c>
    </row>
    <row r="20" ht="15.75" customHeight="1">
      <c r="A20" s="7" t="inlineStr">
        <is>
          <t>Europe-Ent</t>
        </is>
      </c>
      <c r="B20" s="7" t="n">
        <v>7</v>
      </c>
    </row>
    <row r="21" ht="15.75" customHeight="1">
      <c r="A21" s="7" t="inlineStr">
        <is>
          <t>Enterprise</t>
        </is>
      </c>
      <c r="B21" s="7" t="n">
        <v>21</v>
      </c>
    </row>
    <row r="22" ht="15.75" customHeight="1">
      <c r="A22" s="7" t="inlineStr">
        <is>
          <t>Win rate</t>
        </is>
      </c>
      <c r="B22" s="27" t="n">
        <v>0.6584</v>
      </c>
    </row>
    <row r="23" ht="15.75" customHeight="1">
      <c r="A23" s="7" t="inlineStr">
        <is>
          <t>Agency-SMB</t>
        </is>
      </c>
      <c r="B23" s="27" t="n">
        <v>0.6721</v>
      </c>
    </row>
    <row r="24" ht="15.75" customHeight="1">
      <c r="A24" s="7" t="inlineStr">
        <is>
          <t>Agency-MM</t>
        </is>
      </c>
      <c r="B24" s="27" t="n">
        <v>0.6216</v>
      </c>
    </row>
    <row r="25" ht="15.75" customHeight="1">
      <c r="A25" s="7" t="inlineStr">
        <is>
          <t>Europe-SMB</t>
        </is>
      </c>
      <c r="B25" s="27" t="n">
        <v>0.75</v>
      </c>
    </row>
    <row r="26" ht="15.75" customHeight="1">
      <c r="A26" s="7" t="inlineStr">
        <is>
          <t>Europe-MM</t>
        </is>
      </c>
      <c r="B26" s="27" t="n">
        <v>0.5455</v>
      </c>
    </row>
    <row r="27" ht="15.75" customHeight="1">
      <c r="A27" s="7" t="inlineStr">
        <is>
          <t>Europe-Ent</t>
        </is>
      </c>
      <c r="B27" s="27" t="n">
        <v>0.7143</v>
      </c>
    </row>
    <row r="28" ht="15.75" customHeight="1">
      <c r="A28" s="7" t="inlineStr">
        <is>
          <t>Enterprise</t>
        </is>
      </c>
      <c r="B28" s="27" t="n">
        <v>0.5714</v>
      </c>
    </row>
    <row r="29" ht="15.75" customHeight="1">
      <c r="A29" s="7" t="inlineStr">
        <is>
          <t>Won deals</t>
        </is>
      </c>
      <c r="B29" s="7" t="n">
        <v>266</v>
      </c>
    </row>
    <row r="30" ht="15.75" customHeight="1">
      <c r="A30" s="7" t="inlineStr">
        <is>
          <t>Agency-SMB</t>
        </is>
      </c>
      <c r="B30" s="7" t="n">
        <v>164</v>
      </c>
    </row>
    <row r="31" ht="15.75" customHeight="1">
      <c r="A31" s="7" t="inlineStr">
        <is>
          <t>Agency-MM</t>
        </is>
      </c>
      <c r="B31" s="7" t="n">
        <v>46</v>
      </c>
    </row>
    <row r="32" ht="15.75" customHeight="1">
      <c r="A32" s="7" t="inlineStr">
        <is>
          <t>Europe-SMB</t>
        </is>
      </c>
      <c r="B32" s="7" t="n">
        <v>27</v>
      </c>
    </row>
    <row r="33" ht="15.75" customHeight="1">
      <c r="A33" s="7" t="inlineStr">
        <is>
          <t>Europe-MM</t>
        </is>
      </c>
      <c r="B33" s="7" t="n">
        <v>12</v>
      </c>
    </row>
    <row r="34" ht="15.75" customHeight="1">
      <c r="A34" s="7" t="inlineStr">
        <is>
          <t>Europe-Ent</t>
        </is>
      </c>
      <c r="B34" s="7" t="n">
        <v>5</v>
      </c>
    </row>
    <row r="35" ht="15.75" customHeight="1">
      <c r="A35" s="7" t="inlineStr">
        <is>
          <t>Enterprise</t>
        </is>
      </c>
      <c r="B35" s="7" t="n">
        <v>12</v>
      </c>
    </row>
    <row r="36" ht="15.75" customHeight="1">
      <c r="A36" s="7" t="inlineStr">
        <is>
          <t>Average MRR</t>
        </is>
      </c>
      <c r="B36" s="28" t="n">
        <v>979</v>
      </c>
    </row>
    <row r="37" ht="15.75" customHeight="1">
      <c r="A37" s="7" t="inlineStr">
        <is>
          <t>Agency-SMB</t>
        </is>
      </c>
      <c r="B37" s="28" t="n">
        <v>700</v>
      </c>
    </row>
    <row r="38" ht="15.75" customHeight="1">
      <c r="A38" s="7" t="inlineStr">
        <is>
          <t>Agency-MM</t>
        </is>
      </c>
      <c r="B38" s="28" t="n">
        <v>1300</v>
      </c>
    </row>
    <row r="39" ht="15.75" customHeight="1">
      <c r="A39" s="7" t="inlineStr">
        <is>
          <t>Europe-SMB</t>
        </is>
      </c>
      <c r="B39" s="28" t="n">
        <v>800</v>
      </c>
    </row>
    <row r="40" ht="15.75" customHeight="1">
      <c r="A40" s="7" t="inlineStr">
        <is>
          <t>Europe-MM</t>
        </is>
      </c>
      <c r="B40" s="28" t="n">
        <v>1085</v>
      </c>
    </row>
    <row r="41" ht="15.75" customHeight="1">
      <c r="A41" s="7" t="inlineStr">
        <is>
          <t>Europe-Ent</t>
        </is>
      </c>
      <c r="B41" s="28" t="n">
        <v>3100</v>
      </c>
    </row>
    <row r="42" ht="15.75" customHeight="1">
      <c r="A42" s="7" t="inlineStr">
        <is>
          <t>Enterprise</t>
        </is>
      </c>
      <c r="B42" s="28" t="n">
        <v>3100</v>
      </c>
    </row>
    <row r="43" ht="15.75" customHeight="1">
      <c r="A43" s="7" t="inlineStr">
        <is>
          <t>Total MRR</t>
        </is>
      </c>
      <c r="B43" s="28" t="n">
        <v>260474</v>
      </c>
    </row>
    <row r="44" ht="15.75" customHeight="1">
      <c r="A44" s="7" t="inlineStr">
        <is>
          <t>Agency-SMB</t>
        </is>
      </c>
      <c r="B44" s="28" t="n">
        <v>114560</v>
      </c>
    </row>
    <row r="45" ht="15.75" customHeight="1">
      <c r="A45" s="7" t="inlineStr">
        <is>
          <t>Agency-MM</t>
        </is>
      </c>
      <c r="B45" s="28" t="n">
        <v>60903</v>
      </c>
    </row>
    <row r="46" ht="15.75" customHeight="1">
      <c r="A46" s="7" t="inlineStr">
        <is>
          <t>Europe-SMB</t>
        </is>
      </c>
      <c r="B46" s="28" t="n">
        <v>21600</v>
      </c>
    </row>
    <row r="47" ht="15.75" customHeight="1">
      <c r="A47" s="7" t="inlineStr">
        <is>
          <t>Europe-MM</t>
        </is>
      </c>
      <c r="B47" s="28" t="n">
        <v>13018</v>
      </c>
    </row>
    <row r="48" ht="15.75" customHeight="1">
      <c r="A48" s="7" t="inlineStr">
        <is>
          <t>Europe-Ent</t>
        </is>
      </c>
      <c r="B48" s="28" t="n">
        <v>14324</v>
      </c>
    </row>
    <row r="49" ht="15.75" customHeight="1">
      <c r="A49" s="7" t="inlineStr">
        <is>
          <t>Enterprise</t>
        </is>
      </c>
      <c r="B49" s="28" t="n">
        <v>36069</v>
      </c>
    </row>
    <row r="50" ht="15.75" customHeight="1">
      <c r="A50" s="7" t="inlineStr">
        <is>
          <t>SQL to CW Opp</t>
        </is>
      </c>
      <c r="B50" s="27" t="n">
        <v>0.1335</v>
      </c>
    </row>
    <row r="51" ht="15.75" customHeight="1">
      <c r="A51" s="7" t="inlineStr">
        <is>
          <t>Agency-SMB</t>
        </is>
      </c>
      <c r="B51" s="27" t="n">
        <v>0.1343</v>
      </c>
    </row>
    <row r="52" ht="15.75" customHeight="1">
      <c r="A52" s="7" t="inlineStr">
        <is>
          <t>Agency-MM</t>
        </is>
      </c>
      <c r="B52" s="27" t="n">
        <v>0.1549</v>
      </c>
    </row>
    <row r="53" ht="15.75" customHeight="1">
      <c r="A53" s="7" t="inlineStr">
        <is>
          <t>Europe-MM</t>
        </is>
      </c>
      <c r="B53" s="27" t="n">
        <v>0.112</v>
      </c>
    </row>
    <row r="54" ht="13" customHeight="1">
      <c r="A54" s="7" t="inlineStr">
        <is>
          <t>Europe-Ent</t>
        </is>
      </c>
      <c r="B54" s="27" t="n">
        <v>0.1263</v>
      </c>
    </row>
    <row r="55" ht="13" customHeight="1">
      <c r="A55" s="7" t="inlineStr">
        <is>
          <t>Enterprise</t>
        </is>
      </c>
      <c r="B55" s="27" t="n">
        <v>0.1351</v>
      </c>
    </row>
    <row r="56" ht="13" customHeight="1">
      <c r="A56" s="7" t="inlineStr">
        <is>
          <t>Enterprise</t>
        </is>
      </c>
      <c r="B56" s="27" t="n">
        <v>0.1188</v>
      </c>
    </row>
    <row r="57" ht="13" customHeight="1">
      <c r="A57" s="7" t="inlineStr">
        <is>
          <t>MRR created amount</t>
        </is>
      </c>
      <c r="B57" s="28" t="n">
        <v>395607</v>
      </c>
    </row>
    <row r="58" ht="13" customHeight="1">
      <c r="A58" s="7" t="inlineStr">
        <is>
          <t>Agency-SMB</t>
        </is>
      </c>
      <c r="B58" s="28" t="n">
        <v>170800</v>
      </c>
    </row>
    <row r="59" ht="13" customHeight="1">
      <c r="A59" s="7" t="inlineStr">
        <is>
          <t>Agency-MM</t>
        </is>
      </c>
      <c r="B59" s="28" t="n">
        <v>96200</v>
      </c>
    </row>
    <row r="60" ht="13" customHeight="1">
      <c r="A60" s="7" t="inlineStr">
        <is>
          <t>Europe-MM</t>
        </is>
      </c>
      <c r="B60" s="28" t="n">
        <v>28800</v>
      </c>
    </row>
    <row r="61" ht="13" customHeight="1">
      <c r="A61" s="7" t="inlineStr">
        <is>
          <t>Europe-Ent</t>
        </is>
      </c>
      <c r="B61" s="28" t="n">
        <v>23866</v>
      </c>
    </row>
    <row r="62" ht="13" customHeight="1">
      <c r="A62" s="7" t="inlineStr">
        <is>
          <t>EU agency</t>
        </is>
      </c>
      <c r="B62" s="28" t="n">
        <v>21700</v>
      </c>
    </row>
    <row r="63" ht="13" customHeight="1">
      <c r="A63" s="7" t="inlineStr">
        <is>
          <t>Enterprise</t>
        </is>
      </c>
      <c r="B63" s="28" t="n">
        <v>65100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2026-03-11T07:39:08Z</dcterms:created>
  <dcterms:modified xmlns:dcterms="http://purl.org/dc/terms/" xmlns:xsi="http://www.w3.org/2001/XMLSchema-instance" xsi:type="dcterms:W3CDTF">2026-08-05T09:20:27Z</dcterms:modified>
  <cp:lastModifiedBy>Nir Taranto</cp:lastModifiedBy>
</cp:coreProperties>
</file>